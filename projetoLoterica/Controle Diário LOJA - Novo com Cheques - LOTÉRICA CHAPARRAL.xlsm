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milia1\Downloads\"/>
    </mc:Choice>
  </mc:AlternateContent>
  <xr:revisionPtr revIDLastSave="0" documentId="8_{F5369FB3-F405-4B55-AA39-F699FC90A8B2}" xr6:coauthVersionLast="43" xr6:coauthVersionMax="43" xr10:uidLastSave="{00000000-0000-0000-0000-000000000000}"/>
  <bookViews>
    <workbookView xWindow="21480" yWindow="-120" windowWidth="20730" windowHeight="11160" tabRatio="640" firstSheet="1" activeTab="3" xr2:uid="{00000000-000D-0000-FFFF-FFFF00000000}"/>
  </bookViews>
  <sheets>
    <sheet name="Gráf1" sheetId="339" state="hidden" r:id="rId1"/>
    <sheet name="Caderno" sheetId="333" r:id="rId2"/>
    <sheet name="Carro Forte" sheetId="336" r:id="rId3"/>
    <sheet name="Fechamento Cx Aqui" sheetId="337" r:id="rId4"/>
    <sheet name="RME CEF 1" sheetId="338" r:id="rId5"/>
  </sheets>
  <definedNames>
    <definedName name="_xlnm.Print_Area" localSheetId="1">Caderno!$A$1:$AM$134</definedName>
    <definedName name="_xlnm.Print_Area" localSheetId="2">'Carro Forte'!$A$1:$BA$143</definedName>
    <definedName name="_xlnm.Print_Area" localSheetId="3">'Fechamento Cx Aqui'!$A$1:$R$71</definedName>
    <definedName name="_xlnm.Print_Area" localSheetId="4">'RME CEF 1'!$A$1:$R$68</definedName>
    <definedName name="caixas">'Carro Forte'!$H$150:$J$165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53" i="337" l="1"/>
  <c r="M52" i="337"/>
  <c r="M51" i="337"/>
  <c r="M50" i="337"/>
  <c r="H97" i="333"/>
  <c r="H95" i="333"/>
  <c r="C7" i="336" l="1"/>
  <c r="AU54" i="336" l="1"/>
  <c r="AU59" i="336" l="1"/>
  <c r="T125" i="333" l="1"/>
  <c r="AR50" i="336" l="1"/>
  <c r="E131" i="333" l="1"/>
  <c r="V57" i="336" l="1"/>
  <c r="V56" i="336"/>
  <c r="O16" i="337" l="1"/>
  <c r="M16" i="337"/>
  <c r="K16" i="337"/>
  <c r="I16" i="337"/>
  <c r="G16" i="337"/>
  <c r="M10" i="338" l="1"/>
  <c r="N53" i="337" l="1"/>
  <c r="N52" i="337"/>
  <c r="N51" i="337"/>
  <c r="N50" i="337"/>
  <c r="N54" i="337" l="1"/>
  <c r="O23" i="337"/>
  <c r="M23" i="337"/>
  <c r="K23" i="337"/>
  <c r="I23" i="337"/>
  <c r="G23" i="337"/>
  <c r="O22" i="337"/>
  <c r="M22" i="337"/>
  <c r="K22" i="337"/>
  <c r="I22" i="337"/>
  <c r="G22" i="337"/>
  <c r="O21" i="337"/>
  <c r="M21" i="337"/>
  <c r="K21" i="337"/>
  <c r="I21" i="337"/>
  <c r="G21" i="337"/>
  <c r="O20" i="337"/>
  <c r="M20" i="337"/>
  <c r="K20" i="337"/>
  <c r="I20" i="337"/>
  <c r="G20" i="337"/>
  <c r="O19" i="337"/>
  <c r="M19" i="337"/>
  <c r="K19" i="337"/>
  <c r="I19" i="337"/>
  <c r="G19" i="337"/>
  <c r="O18" i="337"/>
  <c r="M18" i="337"/>
  <c r="K18" i="337"/>
  <c r="I18" i="337"/>
  <c r="G18" i="337"/>
  <c r="O17" i="337"/>
  <c r="M17" i="337"/>
  <c r="K17" i="337"/>
  <c r="I17" i="337"/>
  <c r="G17" i="337"/>
  <c r="O15" i="337"/>
  <c r="M15" i="337"/>
  <c r="K15" i="337"/>
  <c r="I15" i="337"/>
  <c r="AI97" i="333"/>
  <c r="AF97" i="333"/>
  <c r="AI95" i="333"/>
  <c r="AF95" i="333"/>
  <c r="AC97" i="333"/>
  <c r="E23" i="337" s="1"/>
  <c r="Z97" i="333"/>
  <c r="E22" i="337" s="1"/>
  <c r="AC95" i="333"/>
  <c r="Z95" i="333"/>
  <c r="W97" i="333"/>
  <c r="E21" i="337" s="1"/>
  <c r="T97" i="333"/>
  <c r="E20" i="337" s="1"/>
  <c r="W95" i="333"/>
  <c r="T95" i="333"/>
  <c r="Q97" i="333"/>
  <c r="E19" i="337" s="1"/>
  <c r="N97" i="333"/>
  <c r="E18" i="337" s="1"/>
  <c r="Q95" i="333"/>
  <c r="N95" i="333"/>
  <c r="K97" i="333"/>
  <c r="E17" i="337" s="1"/>
  <c r="K95" i="333"/>
  <c r="B2" i="337"/>
  <c r="V119" i="336"/>
  <c r="V118" i="336"/>
  <c r="V117" i="336"/>
  <c r="V116" i="336"/>
  <c r="V115" i="336"/>
  <c r="V114" i="336"/>
  <c r="V113" i="336"/>
  <c r="V112" i="336"/>
  <c r="V111" i="336"/>
  <c r="V110" i="336"/>
  <c r="V109" i="336"/>
  <c r="V108" i="336"/>
  <c r="V107" i="336"/>
  <c r="V106" i="336"/>
  <c r="V105" i="336"/>
  <c r="V104" i="336"/>
  <c r="V103" i="336"/>
  <c r="V102" i="336"/>
  <c r="V101" i="336"/>
  <c r="V100" i="336"/>
  <c r="V99" i="336"/>
  <c r="V98" i="336"/>
  <c r="V97" i="336"/>
  <c r="V96" i="336"/>
  <c r="V95" i="336"/>
  <c r="V94" i="336"/>
  <c r="V93" i="336"/>
  <c r="V92" i="336"/>
  <c r="V91" i="336"/>
  <c r="V90" i="336"/>
  <c r="V89" i="336"/>
  <c r="V88" i="336"/>
  <c r="V87" i="336"/>
  <c r="V86" i="336"/>
  <c r="V85" i="336"/>
  <c r="V84" i="336"/>
  <c r="V83" i="336"/>
  <c r="V82" i="336"/>
  <c r="V81" i="336"/>
  <c r="V80" i="336"/>
  <c r="V79" i="336"/>
  <c r="V78" i="336"/>
  <c r="V77" i="336"/>
  <c r="V76" i="336"/>
  <c r="V75" i="336"/>
  <c r="V74" i="336"/>
  <c r="V73" i="336"/>
  <c r="V72" i="336"/>
  <c r="V71" i="336"/>
  <c r="V70" i="336"/>
  <c r="V69" i="336"/>
  <c r="V68" i="336"/>
  <c r="V67" i="336"/>
  <c r="V66" i="336"/>
  <c r="V65" i="336"/>
  <c r="V64" i="336"/>
  <c r="V63" i="336"/>
  <c r="V62" i="336"/>
  <c r="V61" i="336"/>
  <c r="V60" i="336"/>
  <c r="V59" i="336"/>
  <c r="V58" i="336"/>
  <c r="V55" i="336"/>
  <c r="V54" i="336"/>
  <c r="C3" i="336"/>
  <c r="AJ72" i="333"/>
  <c r="AI72" i="333"/>
  <c r="AG72" i="333"/>
  <c r="AF72" i="333"/>
  <c r="AI69" i="333"/>
  <c r="AF69" i="333"/>
  <c r="AI14" i="333"/>
  <c r="AF14" i="333"/>
  <c r="AD72" i="333"/>
  <c r="AC72" i="333"/>
  <c r="AA72" i="333"/>
  <c r="Z72" i="333"/>
  <c r="AC69" i="333"/>
  <c r="Z69" i="333"/>
  <c r="AC14" i="333"/>
  <c r="Z14" i="333"/>
  <c r="X72" i="333"/>
  <c r="W72" i="333"/>
  <c r="U72" i="333"/>
  <c r="T72" i="333"/>
  <c r="W69" i="333"/>
  <c r="T69" i="333"/>
  <c r="W14" i="333"/>
  <c r="T14" i="333"/>
  <c r="R72" i="333"/>
  <c r="Q72" i="333"/>
  <c r="O72" i="333"/>
  <c r="N72" i="333"/>
  <c r="Q69" i="333"/>
  <c r="N69" i="333"/>
  <c r="Q14" i="333"/>
  <c r="N14" i="333"/>
  <c r="E97" i="333"/>
  <c r="E15" i="337" s="1"/>
  <c r="E95" i="333"/>
  <c r="F72" i="333"/>
  <c r="E72" i="333"/>
  <c r="E69" i="333"/>
  <c r="E14" i="333"/>
  <c r="E75" i="333" l="1"/>
  <c r="G15" i="337"/>
  <c r="AC75" i="333"/>
  <c r="AD79" i="333" s="1"/>
  <c r="AD80" i="333" s="1"/>
  <c r="I27" i="337"/>
  <c r="T75" i="333"/>
  <c r="U79" i="333" s="1"/>
  <c r="U80" i="333" s="1"/>
  <c r="Z75" i="333"/>
  <c r="AA79" i="333" s="1"/>
  <c r="AA80" i="333" s="1"/>
  <c r="AF75" i="333"/>
  <c r="AG79" i="333" s="1"/>
  <c r="AG80" i="333" s="1"/>
  <c r="N75" i="333"/>
  <c r="O79" i="333" s="1"/>
  <c r="O80" i="333" s="1"/>
  <c r="W75" i="333"/>
  <c r="X79" i="333" s="1"/>
  <c r="X80" i="333" s="1"/>
  <c r="AI75" i="333"/>
  <c r="AJ79" i="333" s="1"/>
  <c r="AJ80" i="333" s="1"/>
  <c r="Q75" i="333"/>
  <c r="F79" i="333" l="1"/>
  <c r="F80" i="333" s="1"/>
  <c r="R79" i="333"/>
  <c r="R80" i="333" s="1"/>
  <c r="AU66" i="336"/>
  <c r="L72" i="333" l="1"/>
  <c r="AU84" i="336" l="1"/>
  <c r="AU83" i="336"/>
  <c r="AU82" i="336"/>
  <c r="AU81" i="336"/>
  <c r="AU80" i="336"/>
  <c r="AU79" i="336"/>
  <c r="AU78" i="336"/>
  <c r="AU77" i="336"/>
  <c r="AU76" i="336"/>
  <c r="AU75" i="336"/>
  <c r="AU74" i="336"/>
  <c r="AU73" i="336"/>
  <c r="AU72" i="336"/>
  <c r="AU71" i="336"/>
  <c r="AU70" i="336"/>
  <c r="AU69" i="336"/>
  <c r="AU68" i="336"/>
  <c r="AU67" i="336"/>
  <c r="AU65" i="336"/>
  <c r="AU64" i="336"/>
  <c r="AU63" i="336"/>
  <c r="AU62" i="336"/>
  <c r="AU61" i="336"/>
  <c r="AU60" i="336"/>
  <c r="AU58" i="336"/>
  <c r="AU57" i="336"/>
  <c r="AU56" i="336"/>
  <c r="AU55" i="336"/>
  <c r="AU52" i="336"/>
  <c r="K72" i="333" l="1"/>
  <c r="K75" i="333" s="1"/>
  <c r="I72" i="333"/>
  <c r="L79" i="333" l="1"/>
  <c r="L80" i="333" s="1"/>
  <c r="B7" i="337"/>
  <c r="D11" i="337" l="1"/>
  <c r="E48" i="337"/>
  <c r="I64" i="337"/>
  <c r="I63" i="337"/>
  <c r="I62" i="337"/>
  <c r="I61" i="337"/>
  <c r="I60" i="337"/>
  <c r="I59" i="337"/>
  <c r="I58" i="337"/>
  <c r="I57" i="337"/>
  <c r="I56" i="337"/>
  <c r="I55" i="337"/>
  <c r="I54" i="337"/>
  <c r="I53" i="337"/>
  <c r="I52" i="337"/>
  <c r="I51" i="337"/>
  <c r="I50" i="337"/>
  <c r="O36" i="337" l="1"/>
  <c r="N125" i="333" l="1"/>
  <c r="F104" i="333" s="1"/>
  <c r="AS50" i="336" l="1"/>
  <c r="AS30" i="336" s="1"/>
  <c r="AR30" i="336"/>
  <c r="AQ50" i="336"/>
  <c r="AQ30" i="336" s="1"/>
  <c r="AP50" i="336"/>
  <c r="AP30" i="336" s="1"/>
  <c r="AO50" i="336"/>
  <c r="AO30" i="336" s="1"/>
  <c r="AN50" i="336"/>
  <c r="AN30" i="336" s="1"/>
  <c r="AM50" i="336"/>
  <c r="AM30" i="336" s="1"/>
  <c r="AL50" i="336"/>
  <c r="AL30" i="336" s="1"/>
  <c r="AK50" i="336"/>
  <c r="AK30" i="336" s="1"/>
  <c r="AJ50" i="336"/>
  <c r="AJ30" i="336" s="1"/>
  <c r="AI50" i="336"/>
  <c r="AI30" i="336" s="1"/>
  <c r="AH50" i="336"/>
  <c r="AH30" i="336" s="1"/>
  <c r="AG50" i="336"/>
  <c r="AG30" i="336" s="1"/>
  <c r="AK49" i="336"/>
  <c r="AI49" i="336"/>
  <c r="AG49" i="336"/>
  <c r="S30" i="336"/>
  <c r="Q30" i="336"/>
  <c r="O30" i="336"/>
  <c r="M30" i="336"/>
  <c r="K30" i="336"/>
  <c r="I30" i="336"/>
  <c r="T30" i="336"/>
  <c r="R30" i="336"/>
  <c r="P30" i="336"/>
  <c r="N30" i="336"/>
  <c r="L30" i="336"/>
  <c r="J30" i="336"/>
  <c r="H30" i="336"/>
  <c r="AU119" i="336" l="1"/>
  <c r="AU118" i="336"/>
  <c r="AU117" i="336"/>
  <c r="AU116" i="336"/>
  <c r="AU115" i="336"/>
  <c r="AU114" i="336"/>
  <c r="AU113" i="336"/>
  <c r="AU112" i="336"/>
  <c r="AU111" i="336"/>
  <c r="AU110" i="336"/>
  <c r="AU109" i="336"/>
  <c r="AU108" i="336"/>
  <c r="AU107" i="336"/>
  <c r="AU106" i="336"/>
  <c r="AU105" i="336"/>
  <c r="AU104" i="336"/>
  <c r="AU103" i="336"/>
  <c r="AU102" i="336"/>
  <c r="AU101" i="336"/>
  <c r="AU100" i="336"/>
  <c r="AU99" i="336"/>
  <c r="AU98" i="336"/>
  <c r="AU97" i="336"/>
  <c r="AU96" i="336"/>
  <c r="AU95" i="336"/>
  <c r="AU94" i="336"/>
  <c r="AU93" i="336"/>
  <c r="AU92" i="336"/>
  <c r="AU91" i="336"/>
  <c r="AU90" i="336"/>
  <c r="AU89" i="336"/>
  <c r="AU88" i="336"/>
  <c r="AU87" i="336"/>
  <c r="AU86" i="336"/>
  <c r="AU85" i="336"/>
  <c r="AU53" i="336"/>
  <c r="V53" i="336"/>
  <c r="V52" i="336"/>
  <c r="N20" i="336" l="1"/>
  <c r="S20" i="336"/>
  <c r="Q20" i="336"/>
  <c r="L20" i="336"/>
  <c r="J20" i="336"/>
  <c r="H20" i="336"/>
  <c r="AR124" i="336"/>
  <c r="AP124" i="336"/>
  <c r="AM124" i="336"/>
  <c r="AK124" i="336"/>
  <c r="AI124" i="336"/>
  <c r="AG124" i="336"/>
  <c r="AS123" i="336"/>
  <c r="AR123" i="336"/>
  <c r="AQ123" i="336"/>
  <c r="AP123" i="336"/>
  <c r="AO123" i="336"/>
  <c r="AN123" i="336"/>
  <c r="AM123" i="336"/>
  <c r="AL123" i="336"/>
  <c r="AK123" i="336"/>
  <c r="AJ123" i="336"/>
  <c r="AI123" i="336"/>
  <c r="AH123" i="336"/>
  <c r="AG123" i="336"/>
  <c r="AH128" i="336"/>
  <c r="AI128" i="336"/>
  <c r="AJ128" i="336"/>
  <c r="AK128" i="336"/>
  <c r="AL128" i="336"/>
  <c r="AM128" i="336"/>
  <c r="AN128" i="336"/>
  <c r="AO128" i="336"/>
  <c r="AP128" i="336"/>
  <c r="AQ128" i="336"/>
  <c r="AR128" i="336"/>
  <c r="AS128" i="336"/>
  <c r="AG128" i="336"/>
  <c r="H22" i="336" l="1"/>
  <c r="N124" i="336"/>
  <c r="S124" i="336"/>
  <c r="Q124" i="336"/>
  <c r="L124" i="336"/>
  <c r="J124" i="336"/>
  <c r="H124" i="336"/>
  <c r="I123" i="336"/>
  <c r="I128" i="336" s="1"/>
  <c r="J123" i="336"/>
  <c r="J128" i="336" s="1"/>
  <c r="K123" i="336"/>
  <c r="K128" i="336" s="1"/>
  <c r="L123" i="336"/>
  <c r="L128" i="336" s="1"/>
  <c r="M123" i="336"/>
  <c r="M128" i="336" s="1"/>
  <c r="N123" i="336"/>
  <c r="N128" i="336" s="1"/>
  <c r="O123" i="336"/>
  <c r="O128" i="336" s="1"/>
  <c r="P123" i="336"/>
  <c r="P128" i="336" s="1"/>
  <c r="Q123" i="336"/>
  <c r="Q128" i="336" s="1"/>
  <c r="R123" i="336"/>
  <c r="R128" i="336" s="1"/>
  <c r="S123" i="336"/>
  <c r="S128" i="336" s="1"/>
  <c r="T123" i="336"/>
  <c r="T128" i="336" s="1"/>
  <c r="H123" i="336"/>
  <c r="H128" i="336" s="1"/>
  <c r="AS121" i="336"/>
  <c r="AS130" i="336" s="1"/>
  <c r="AS32" i="336" s="1"/>
  <c r="AR121" i="336"/>
  <c r="AR130" i="336" s="1"/>
  <c r="AR32" i="336" s="1"/>
  <c r="AQ121" i="336"/>
  <c r="AQ130" i="336" s="1"/>
  <c r="AQ32" i="336" s="1"/>
  <c r="AP121" i="336"/>
  <c r="AP130" i="336" s="1"/>
  <c r="AP32" i="336" s="1"/>
  <c r="AO121" i="336"/>
  <c r="AO130" i="336" s="1"/>
  <c r="AO32" i="336" s="1"/>
  <c r="AN121" i="336"/>
  <c r="AN130" i="336" s="1"/>
  <c r="AN32" i="336" s="1"/>
  <c r="AM121" i="336"/>
  <c r="AM130" i="336" s="1"/>
  <c r="AM32" i="336" s="1"/>
  <c r="AL121" i="336"/>
  <c r="AL130" i="336" s="1"/>
  <c r="AK121" i="336"/>
  <c r="AK130" i="336" s="1"/>
  <c r="AK32" i="336" s="1"/>
  <c r="AJ121" i="336"/>
  <c r="AJ130" i="336" s="1"/>
  <c r="AJ32" i="336" s="1"/>
  <c r="AI121" i="336"/>
  <c r="AI130" i="336" s="1"/>
  <c r="AI32" i="336" s="1"/>
  <c r="AH121" i="336"/>
  <c r="AH130" i="336" s="1"/>
  <c r="AH32" i="336" s="1"/>
  <c r="AG121" i="336"/>
  <c r="AG130" i="336" s="1"/>
  <c r="AG32" i="336" s="1"/>
  <c r="AY119" i="336"/>
  <c r="AY118" i="336"/>
  <c r="AY117" i="336"/>
  <c r="AY116" i="336"/>
  <c r="AY115" i="336"/>
  <c r="AY114" i="336"/>
  <c r="AY113" i="336"/>
  <c r="AY112" i="336"/>
  <c r="AY111" i="336"/>
  <c r="AY110" i="336"/>
  <c r="AY109" i="336"/>
  <c r="AY108" i="336"/>
  <c r="AY107" i="336"/>
  <c r="AY106" i="336"/>
  <c r="AY105" i="336"/>
  <c r="AY104" i="336"/>
  <c r="AY103" i="336"/>
  <c r="AY102" i="336"/>
  <c r="AY101" i="336"/>
  <c r="AY100" i="336"/>
  <c r="AY99" i="336"/>
  <c r="AY98" i="336"/>
  <c r="AY97" i="336"/>
  <c r="AY96" i="336"/>
  <c r="AY95" i="336"/>
  <c r="AY94" i="336"/>
  <c r="AY93" i="336"/>
  <c r="AY92" i="336"/>
  <c r="AY91" i="336"/>
  <c r="AY90" i="336"/>
  <c r="AY89" i="336"/>
  <c r="AY88" i="336"/>
  <c r="AY87" i="336"/>
  <c r="AY86" i="336"/>
  <c r="AY85" i="336"/>
  <c r="AY84" i="336"/>
  <c r="AY83" i="336"/>
  <c r="AY82" i="336"/>
  <c r="AY81" i="336"/>
  <c r="AY80" i="336"/>
  <c r="AY79" i="336"/>
  <c r="AY78" i="336"/>
  <c r="AY77" i="336"/>
  <c r="AY76" i="336"/>
  <c r="AY75" i="336"/>
  <c r="AY74" i="336"/>
  <c r="AY73" i="336"/>
  <c r="AY72" i="336"/>
  <c r="AY71" i="336"/>
  <c r="AY70" i="336"/>
  <c r="AY69" i="336"/>
  <c r="AY68" i="336"/>
  <c r="AY67" i="336"/>
  <c r="AY66" i="336"/>
  <c r="AY65" i="336"/>
  <c r="AY64" i="336"/>
  <c r="AY63" i="336"/>
  <c r="AY62" i="336"/>
  <c r="AY61" i="336"/>
  <c r="AY60" i="336"/>
  <c r="AY59" i="336"/>
  <c r="AY58" i="336"/>
  <c r="AY57" i="336"/>
  <c r="AY56" i="336"/>
  <c r="AY55" i="336"/>
  <c r="AY54" i="336"/>
  <c r="AY53" i="336"/>
  <c r="AY52" i="336"/>
  <c r="AW52" i="336"/>
  <c r="I121" i="336"/>
  <c r="I130" i="336" s="1"/>
  <c r="I32" i="336" s="1"/>
  <c r="J121" i="336"/>
  <c r="J130" i="336" s="1"/>
  <c r="K121" i="336"/>
  <c r="K130" i="336" s="1"/>
  <c r="K32" i="336" s="1"/>
  <c r="L121" i="336"/>
  <c r="L130" i="336" s="1"/>
  <c r="L32" i="336" s="1"/>
  <c r="M121" i="336"/>
  <c r="M130" i="336" s="1"/>
  <c r="M32" i="336" s="1"/>
  <c r="N121" i="336"/>
  <c r="N130" i="336" s="1"/>
  <c r="N32" i="336" s="1"/>
  <c r="O121" i="336"/>
  <c r="O130" i="336" s="1"/>
  <c r="O32" i="336" s="1"/>
  <c r="P121" i="336"/>
  <c r="P130" i="336" s="1"/>
  <c r="P32" i="336" s="1"/>
  <c r="Q121" i="336"/>
  <c r="Q130" i="336" s="1"/>
  <c r="R121" i="336"/>
  <c r="R130" i="336" s="1"/>
  <c r="R32" i="336" s="1"/>
  <c r="S121" i="336"/>
  <c r="S130" i="336" s="1"/>
  <c r="T121" i="336"/>
  <c r="T130" i="336" s="1"/>
  <c r="H121" i="336"/>
  <c r="H130" i="336" s="1"/>
  <c r="H32" i="336" s="1"/>
  <c r="Z119" i="336"/>
  <c r="Z118" i="336"/>
  <c r="Z117" i="336"/>
  <c r="Z116" i="336"/>
  <c r="Z115" i="336"/>
  <c r="Z114" i="336"/>
  <c r="Z113" i="336"/>
  <c r="Z112" i="336"/>
  <c r="Z111" i="336"/>
  <c r="Z110" i="336"/>
  <c r="Z109" i="336"/>
  <c r="Z108" i="336"/>
  <c r="Z107" i="336"/>
  <c r="Z106" i="336"/>
  <c r="Z105" i="336"/>
  <c r="Z104" i="336"/>
  <c r="Z103" i="336"/>
  <c r="Z102" i="336"/>
  <c r="Z101" i="336"/>
  <c r="Z100" i="336"/>
  <c r="Z99" i="336"/>
  <c r="Z98" i="336"/>
  <c r="Z97" i="336"/>
  <c r="Z96" i="336"/>
  <c r="Z95" i="336"/>
  <c r="Z94" i="336"/>
  <c r="Z93" i="336"/>
  <c r="Z92" i="336"/>
  <c r="Z91" i="336"/>
  <c r="Z90" i="336"/>
  <c r="Z89" i="336"/>
  <c r="Z88" i="336"/>
  <c r="Z87" i="336"/>
  <c r="Z86" i="336"/>
  <c r="Z85" i="336"/>
  <c r="Z84" i="336"/>
  <c r="Z83" i="336"/>
  <c r="Z82" i="336"/>
  <c r="Z81" i="336"/>
  <c r="Z80" i="336"/>
  <c r="Z79" i="336"/>
  <c r="Z78" i="336"/>
  <c r="Z77" i="336"/>
  <c r="Z76" i="336"/>
  <c r="Z75" i="336"/>
  <c r="Z74" i="336"/>
  <c r="Z73" i="336"/>
  <c r="Z72" i="336"/>
  <c r="Z71" i="336"/>
  <c r="Z70" i="336"/>
  <c r="Z69" i="336"/>
  <c r="Z68" i="336"/>
  <c r="Z67" i="336"/>
  <c r="Z66" i="336"/>
  <c r="Z65" i="336"/>
  <c r="Z64" i="336"/>
  <c r="Z63" i="336"/>
  <c r="Z62" i="336"/>
  <c r="Z61" i="336"/>
  <c r="Z60" i="336"/>
  <c r="Z59" i="336"/>
  <c r="Z58" i="336"/>
  <c r="Z57" i="336"/>
  <c r="Z56" i="336"/>
  <c r="Z55" i="336"/>
  <c r="Z54" i="336"/>
  <c r="Z53" i="336"/>
  <c r="Z52" i="336"/>
  <c r="X52" i="336"/>
  <c r="M38" i="337"/>
  <c r="E50" i="337"/>
  <c r="E51" i="337"/>
  <c r="E52" i="337"/>
  <c r="E53" i="337"/>
  <c r="E54" i="337"/>
  <c r="E55" i="337"/>
  <c r="E56" i="337"/>
  <c r="E57" i="337"/>
  <c r="E58" i="337"/>
  <c r="E59" i="337"/>
  <c r="E60" i="337"/>
  <c r="E61" i="337"/>
  <c r="E62" i="337"/>
  <c r="E63" i="337"/>
  <c r="E64" i="337"/>
  <c r="H72" i="333"/>
  <c r="H75" i="333" s="1"/>
  <c r="I66" i="337"/>
  <c r="I79" i="333" l="1"/>
  <c r="F101" i="333"/>
  <c r="F107" i="333" s="1"/>
  <c r="I80" i="333"/>
  <c r="H48" i="338"/>
  <c r="I48" i="338" s="1"/>
  <c r="K44" i="338"/>
  <c r="L44" i="338" s="1"/>
  <c r="K38" i="338"/>
  <c r="L38" i="338" s="1"/>
  <c r="H42" i="338"/>
  <c r="I42" i="338" s="1"/>
  <c r="H44" i="338"/>
  <c r="K46" i="338"/>
  <c r="K48" i="338"/>
  <c r="H40" i="338"/>
  <c r="K42" i="338"/>
  <c r="M37" i="337"/>
  <c r="H34" i="336"/>
  <c r="AY121" i="336"/>
  <c r="AW53" i="336"/>
  <c r="AW54" i="336" s="1"/>
  <c r="AW55" i="336" s="1"/>
  <c r="AW56" i="336" s="1"/>
  <c r="AW57" i="336" s="1"/>
  <c r="AW58" i="336" s="1"/>
  <c r="AW59" i="336" s="1"/>
  <c r="AW60" i="336" s="1"/>
  <c r="AW61" i="336" s="1"/>
  <c r="AW62" i="336" s="1"/>
  <c r="AW63" i="336" s="1"/>
  <c r="AW64" i="336" s="1"/>
  <c r="AW65" i="336" s="1"/>
  <c r="AW66" i="336" s="1"/>
  <c r="AW67" i="336" s="1"/>
  <c r="AW68" i="336" s="1"/>
  <c r="AW69" i="336" s="1"/>
  <c r="AW70" i="336" s="1"/>
  <c r="AW71" i="336" s="1"/>
  <c r="AW72" i="336" s="1"/>
  <c r="AW73" i="336" s="1"/>
  <c r="AW74" i="336" s="1"/>
  <c r="AW75" i="336" s="1"/>
  <c r="AW76" i="336" s="1"/>
  <c r="AW77" i="336" s="1"/>
  <c r="AW78" i="336" s="1"/>
  <c r="AW79" i="336" s="1"/>
  <c r="AW80" i="336" s="1"/>
  <c r="AW81" i="336" s="1"/>
  <c r="AW82" i="336" s="1"/>
  <c r="AW83" i="336" s="1"/>
  <c r="AW84" i="336" s="1"/>
  <c r="AW85" i="336" s="1"/>
  <c r="AW86" i="336" s="1"/>
  <c r="AW87" i="336" s="1"/>
  <c r="AW88" i="336" s="1"/>
  <c r="AW89" i="336" s="1"/>
  <c r="AW90" i="336" s="1"/>
  <c r="AW91" i="336" s="1"/>
  <c r="AW92" i="336" s="1"/>
  <c r="AW93" i="336" s="1"/>
  <c r="AW94" i="336" s="1"/>
  <c r="AW95" i="336" s="1"/>
  <c r="AW96" i="336" s="1"/>
  <c r="AW97" i="336" s="1"/>
  <c r="AW98" i="336" s="1"/>
  <c r="AW99" i="336" s="1"/>
  <c r="AW100" i="336" s="1"/>
  <c r="AW101" i="336" s="1"/>
  <c r="AW102" i="336" s="1"/>
  <c r="AW103" i="336" s="1"/>
  <c r="AW104" i="336" s="1"/>
  <c r="AW105" i="336" s="1"/>
  <c r="AW106" i="336" s="1"/>
  <c r="AW107" i="336" s="1"/>
  <c r="AW108" i="336" s="1"/>
  <c r="AW109" i="336" s="1"/>
  <c r="AW110" i="336" s="1"/>
  <c r="AW111" i="336" s="1"/>
  <c r="AW112" i="336" s="1"/>
  <c r="AW113" i="336" s="1"/>
  <c r="AW114" i="336" s="1"/>
  <c r="AW115" i="336" s="1"/>
  <c r="AW116" i="336" s="1"/>
  <c r="AW117" i="336" s="1"/>
  <c r="AW118" i="336" s="1"/>
  <c r="AW119" i="336" s="1"/>
  <c r="AP34" i="336"/>
  <c r="AR34" i="336"/>
  <c r="S32" i="336"/>
  <c r="Q32" i="336"/>
  <c r="Z121" i="336"/>
  <c r="T32" i="336"/>
  <c r="N34" i="336"/>
  <c r="L34" i="336"/>
  <c r="J132" i="336"/>
  <c r="J32" i="336"/>
  <c r="N132" i="336"/>
  <c r="S132" i="336"/>
  <c r="AG34" i="336"/>
  <c r="AI34" i="336"/>
  <c r="AM34" i="336"/>
  <c r="H132" i="336"/>
  <c r="L132" i="336"/>
  <c r="Q132" i="336"/>
  <c r="AK132" i="336"/>
  <c r="AL32" i="336"/>
  <c r="AK34" i="336" s="1"/>
  <c r="O27" i="337"/>
  <c r="K27" i="337"/>
  <c r="AG132" i="336"/>
  <c r="AI132" i="336"/>
  <c r="AM132" i="336"/>
  <c r="AP132" i="336"/>
  <c r="AR132" i="336"/>
  <c r="T23" i="336"/>
  <c r="X53" i="336"/>
  <c r="X54" i="336" s="1"/>
  <c r="X55" i="336" s="1"/>
  <c r="X56" i="336" s="1"/>
  <c r="X57" i="336" s="1"/>
  <c r="X58" i="336" s="1"/>
  <c r="X59" i="336" s="1"/>
  <c r="X60" i="336" s="1"/>
  <c r="X61" i="336" s="1"/>
  <c r="X62" i="336" s="1"/>
  <c r="X63" i="336" s="1"/>
  <c r="X64" i="336" s="1"/>
  <c r="X65" i="336" s="1"/>
  <c r="X66" i="336" s="1"/>
  <c r="X67" i="336" s="1"/>
  <c r="X68" i="336" s="1"/>
  <c r="X69" i="336" s="1"/>
  <c r="X70" i="336" s="1"/>
  <c r="X71" i="336" s="1"/>
  <c r="X72" i="336" s="1"/>
  <c r="X73" i="336" s="1"/>
  <c r="X74" i="336" s="1"/>
  <c r="X75" i="336" s="1"/>
  <c r="X76" i="336" s="1"/>
  <c r="X77" i="336" s="1"/>
  <c r="X78" i="336" s="1"/>
  <c r="X79" i="336" s="1"/>
  <c r="X80" i="336" s="1"/>
  <c r="X81" i="336" s="1"/>
  <c r="X82" i="336" s="1"/>
  <c r="X83" i="336" s="1"/>
  <c r="X84" i="336" s="1"/>
  <c r="X85" i="336" s="1"/>
  <c r="X86" i="336" s="1"/>
  <c r="X87" i="336" s="1"/>
  <c r="X88" i="336" s="1"/>
  <c r="X89" i="336" s="1"/>
  <c r="X90" i="336" s="1"/>
  <c r="X91" i="336" s="1"/>
  <c r="X92" i="336" s="1"/>
  <c r="X93" i="336" s="1"/>
  <c r="X94" i="336" s="1"/>
  <c r="X95" i="336" s="1"/>
  <c r="X96" i="336" s="1"/>
  <c r="X97" i="336" s="1"/>
  <c r="X98" i="336" s="1"/>
  <c r="X99" i="336" s="1"/>
  <c r="X100" i="336" s="1"/>
  <c r="X101" i="336" s="1"/>
  <c r="X102" i="336" s="1"/>
  <c r="X103" i="336" s="1"/>
  <c r="X104" i="336" s="1"/>
  <c r="X105" i="336" s="1"/>
  <c r="X106" i="336" s="1"/>
  <c r="X107" i="336" s="1"/>
  <c r="X108" i="336" s="1"/>
  <c r="X109" i="336" s="1"/>
  <c r="X110" i="336" s="1"/>
  <c r="X111" i="336" s="1"/>
  <c r="X112" i="336" s="1"/>
  <c r="X113" i="336" s="1"/>
  <c r="X114" i="336" s="1"/>
  <c r="X115" i="336" s="1"/>
  <c r="X116" i="336" s="1"/>
  <c r="X117" i="336" s="1"/>
  <c r="X118" i="336" s="1"/>
  <c r="X119" i="336" s="1"/>
  <c r="G27" i="337"/>
  <c r="M27" i="337"/>
  <c r="H69" i="333"/>
  <c r="H14" i="333"/>
  <c r="C42" i="336"/>
  <c r="K69" i="333"/>
  <c r="K14" i="333"/>
  <c r="H36" i="338" l="1"/>
  <c r="N44" i="338"/>
  <c r="O44" i="338" s="1"/>
  <c r="I44" i="338"/>
  <c r="H46" i="338"/>
  <c r="I46" i="338" s="1"/>
  <c r="K36" i="338"/>
  <c r="L36" i="338" s="1"/>
  <c r="H38" i="338"/>
  <c r="L46" i="338"/>
  <c r="L48" i="338"/>
  <c r="N48" i="338"/>
  <c r="O48" i="338" s="1"/>
  <c r="N40" i="338"/>
  <c r="O40" i="338" s="1"/>
  <c r="I40" i="338"/>
  <c r="L42" i="338"/>
  <c r="N42" i="338"/>
  <c r="O42" i="338" s="1"/>
  <c r="G37" i="337"/>
  <c r="F113" i="333"/>
  <c r="K29" i="337"/>
  <c r="K31" i="337" s="1"/>
  <c r="J34" i="336"/>
  <c r="Q34" i="336"/>
  <c r="S34" i="336"/>
  <c r="AG134" i="336"/>
  <c r="AG36" i="336"/>
  <c r="AS37" i="336" s="1"/>
  <c r="F116" i="333" s="1"/>
  <c r="H134" i="336"/>
  <c r="F16" i="336"/>
  <c r="D26" i="336"/>
  <c r="K51" i="338" l="1"/>
  <c r="N38" i="338"/>
  <c r="O38" i="338" s="1"/>
  <c r="I38" i="338"/>
  <c r="I36" i="338"/>
  <c r="N36" i="338"/>
  <c r="O36" i="338" s="1"/>
  <c r="N46" i="338"/>
  <c r="O46" i="338" s="1"/>
  <c r="K34" i="337"/>
  <c r="G38" i="337"/>
  <c r="H36" i="336"/>
  <c r="T37" i="336" s="1"/>
  <c r="F110" i="333" s="1"/>
  <c r="G118" i="333" s="1"/>
  <c r="L136" i="336"/>
  <c r="O31" i="337"/>
  <c r="F122" i="333" l="1"/>
  <c r="G127" i="333" s="1"/>
  <c r="N51" i="338"/>
  <c r="H51" i="338"/>
  <c r="G36" i="337"/>
  <c r="G40" i="337" s="1"/>
  <c r="M36" i="337" l="1"/>
  <c r="M40" i="337" s="1"/>
</calcChain>
</file>

<file path=xl/sharedStrings.xml><?xml version="1.0" encoding="utf-8"?>
<sst xmlns="http://schemas.openxmlformats.org/spreadsheetml/2006/main" count="329" uniqueCount="127">
  <si>
    <t>DESPESAS</t>
  </si>
  <si>
    <t>R$</t>
  </si>
  <si>
    <t>TARDE</t>
  </si>
  <si>
    <t>MANHÃ</t>
  </si>
  <si>
    <t>REMESSA CARRO FORTE</t>
  </si>
  <si>
    <t>ESTORNOS</t>
  </si>
  <si>
    <t>TOTAL EM CAIXA</t>
  </si>
  <si>
    <t>TOTAL</t>
  </si>
  <si>
    <t>TOTAL GERAL</t>
  </si>
  <si>
    <t>Total
Fita:</t>
  </si>
  <si>
    <t>Diferença:</t>
  </si>
  <si>
    <t>Dormiu no Dia:</t>
  </si>
  <si>
    <t>Saídas:</t>
  </si>
  <si>
    <t>Total
Saídas:</t>
  </si>
  <si>
    <t>Total de Saídas:</t>
  </si>
  <si>
    <t>TOTAL EM CAIXA:</t>
  </si>
  <si>
    <t>TOTAL CARRO FORTE (R$):</t>
  </si>
  <si>
    <t>NOTAS</t>
  </si>
  <si>
    <t>=</t>
  </si>
  <si>
    <t>Quant. Notas</t>
  </si>
  <si>
    <t>COFRE</t>
  </si>
  <si>
    <t>CAIXA</t>
  </si>
  <si>
    <t>Sub-Total</t>
  </si>
  <si>
    <t>DORMIU NO DIA ANTERIOR (R$):</t>
  </si>
  <si>
    <t>Máximo
75 Notas</t>
  </si>
  <si>
    <t>TOTAL (R$):</t>
  </si>
  <si>
    <t xml:space="preserve"> </t>
  </si>
  <si>
    <t xml:space="preserve">FECHAMENTO GERAL - DÉBITO CAIXA AQUI </t>
  </si>
  <si>
    <t>PRÊMIOS PAGOS</t>
  </si>
  <si>
    <t>DÉBITOS</t>
  </si>
  <si>
    <t>JOGOS</t>
  </si>
  <si>
    <t>VALORES CAIXA AQUI</t>
  </si>
  <si>
    <t>TOTAL CRÉDITO CAIXA AQUI</t>
  </si>
  <si>
    <t>TOTAL DÉBITOS CAIXA AQUI</t>
  </si>
  <si>
    <t>CARRO FORTE</t>
  </si>
  <si>
    <t>CONFERÊNCIA GERAL:</t>
  </si>
  <si>
    <t>DESPESAS:</t>
  </si>
  <si>
    <t>SOBRA DE MOVIMENTO:</t>
  </si>
  <si>
    <t>TOTAL:</t>
  </si>
  <si>
    <t>Carro Forte:</t>
  </si>
  <si>
    <t>Fechamento Loja:</t>
  </si>
  <si>
    <t>DORMIU NO DIA (R$):</t>
  </si>
  <si>
    <t>DORMIU DIA ANTERIOR:</t>
  </si>
  <si>
    <t>DORMIU NO DIA:</t>
  </si>
  <si>
    <t>DEPÓSITO DIA:</t>
  </si>
  <si>
    <t>Dormiu no Dia Anterior:</t>
  </si>
  <si>
    <t>CEF</t>
  </si>
  <si>
    <t xml:space="preserve">  </t>
  </si>
  <si>
    <t>Sábado</t>
  </si>
  <si>
    <t xml:space="preserve">                                     </t>
  </si>
  <si>
    <t>DATA:</t>
  </si>
  <si>
    <t>REMESSA DE NUMERÁRIO</t>
  </si>
  <si>
    <t>CÓDIGO UL:</t>
  </si>
  <si>
    <t>CC:</t>
  </si>
  <si>
    <r>
      <t>GTV n</t>
    </r>
    <r>
      <rPr>
        <b/>
        <vertAlign val="superscript"/>
        <sz val="10"/>
        <rFont val="Arial"/>
        <family val="2"/>
      </rPr>
      <t>o.</t>
    </r>
    <r>
      <rPr>
        <b/>
        <sz val="10"/>
        <rFont val="Arial"/>
        <family val="2"/>
      </rPr>
      <t>:</t>
    </r>
  </si>
  <si>
    <t>TRANSPORTADORA:</t>
  </si>
  <si>
    <t>CÉDULAS</t>
  </si>
  <si>
    <t>MATERIAL</t>
  </si>
  <si>
    <t>CÉDULAS ANTIGAS</t>
  </si>
  <si>
    <t>NOVA FAMÍLIA DO REAL</t>
  </si>
  <si>
    <t>PAPEL</t>
  </si>
  <si>
    <t>QUANT.</t>
  </si>
  <si>
    <t>POLÍMERO</t>
  </si>
  <si>
    <t>TOTAL (R$)</t>
  </si>
  <si>
    <t xml:space="preserve">Obs.: </t>
  </si>
  <si>
    <t>CAIXAS</t>
  </si>
  <si>
    <t>SM</t>
  </si>
  <si>
    <t>Total Jogos</t>
  </si>
  <si>
    <t>Estornos</t>
  </si>
  <si>
    <t>Prêmios Pagos</t>
  </si>
  <si>
    <t>Total Débitos</t>
  </si>
  <si>
    <t>FECHAMENTO DOS CAIXAS - CADERNO DIÁRIO</t>
  </si>
  <si>
    <t>OBS.:</t>
  </si>
  <si>
    <t>ANTIGO</t>
  </si>
  <si>
    <t>NOVO</t>
  </si>
  <si>
    <t>FINAL</t>
  </si>
  <si>
    <r>
      <rPr>
        <b/>
        <sz val="14"/>
        <color indexed="10"/>
        <rFont val="Calibri"/>
        <family val="2"/>
        <scheme val="minor"/>
      </rPr>
      <t>ATENÇÃO:</t>
    </r>
    <r>
      <rPr>
        <b/>
        <sz val="14"/>
        <rFont val="Calibri"/>
        <family val="2"/>
        <scheme val="minor"/>
      </rPr>
      <t xml:space="preserve">
TRANSFERIR O TOTAL DE NOTAS DO ÚLTIMO DIA ANTES DE INICIAR.</t>
    </r>
  </si>
  <si>
    <t>MANHÃ (antes do Carro-Forte)</t>
  </si>
  <si>
    <t>87420*3,,</t>
  </si>
  <si>
    <t xml:space="preserve">x </t>
  </si>
  <si>
    <t>Sobra de Movimento SM:</t>
  </si>
  <si>
    <t xml:space="preserve"> AG   </t>
  </si>
  <si>
    <t xml:space="preserve">OP     </t>
  </si>
  <si>
    <t>043</t>
  </si>
  <si>
    <t xml:space="preserve">CAIXA 1 </t>
  </si>
  <si>
    <t xml:space="preserve">CAIXA 4 </t>
  </si>
  <si>
    <t xml:space="preserve">CAIXA 5 </t>
  </si>
  <si>
    <t xml:space="preserve">CAIXA 6 </t>
  </si>
  <si>
    <t xml:space="preserve">CAIXA 7 </t>
  </si>
  <si>
    <t xml:space="preserve">CAIXA 11 </t>
  </si>
  <si>
    <t>Total de Despesas e Cheques:</t>
  </si>
  <si>
    <t>CAIXA 9</t>
  </si>
  <si>
    <t xml:space="preserve">CAIXA 10 </t>
  </si>
  <si>
    <t>CAIXA 12</t>
  </si>
  <si>
    <t>TARDE  (depois do Carro-Forte)</t>
  </si>
  <si>
    <t xml:space="preserve">RESUMO DE DESPESAS </t>
  </si>
  <si>
    <t>Diversos</t>
  </si>
  <si>
    <t>OBSERVAÇÕES</t>
  </si>
  <si>
    <t>FEDERAL</t>
  </si>
  <si>
    <t>BOLÃO</t>
  </si>
  <si>
    <t># CONFIDENCIAL 05</t>
  </si>
  <si>
    <r>
      <t xml:space="preserve">OR </t>
    </r>
    <r>
      <rPr>
        <b/>
        <sz val="14"/>
        <rFont val="Arial"/>
        <family val="2"/>
      </rPr>
      <t>028</t>
    </r>
    <r>
      <rPr>
        <b/>
        <sz val="10"/>
        <rFont val="Arial"/>
        <family val="2"/>
      </rPr>
      <t xml:space="preserve"> 084</t>
    </r>
  </si>
  <si>
    <t>6.3</t>
  </si>
  <si>
    <t>ANEXO III - GUIA DE REMESSA DE NUMERÁRIO PELA UL POR MEIO DE CARRO-FORTE</t>
  </si>
  <si>
    <t>LOTÉRICA:</t>
  </si>
  <si>
    <t>CARIMBO / VISTO - LOTÉRICO</t>
  </si>
  <si>
    <t xml:space="preserve">CAIXA 3 </t>
  </si>
  <si>
    <t xml:space="preserve">                        </t>
  </si>
  <si>
    <t>CHEQUES</t>
  </si>
  <si>
    <t>EMITENTE</t>
  </si>
  <si>
    <t>DESCRIÇÃO</t>
  </si>
  <si>
    <t xml:space="preserve"> Federal</t>
  </si>
  <si>
    <t>com.federal</t>
  </si>
  <si>
    <t>BASE</t>
  </si>
  <si>
    <t>FERNANDA</t>
  </si>
  <si>
    <t>SONIA</t>
  </si>
  <si>
    <t>KÁTIA</t>
  </si>
  <si>
    <t>ARLENE</t>
  </si>
  <si>
    <t>CAIXA 2</t>
  </si>
  <si>
    <t>LOTÉRICA CHAPARRAL - Santo André - SP</t>
  </si>
  <si>
    <t>LOTÉRICA CHAPARRAL Ltda - ME</t>
  </si>
  <si>
    <t>21.001211-0</t>
  </si>
  <si>
    <t>00500004-0</t>
  </si>
  <si>
    <t>PROTEGE</t>
  </si>
  <si>
    <t>KATIA</t>
  </si>
  <si>
    <t>cheque</t>
  </si>
  <si>
    <t>=Caderno!H97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</si>
</sst>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16]d\-mmm;@"/>
    <numFmt numFmtId="165" formatCode="&quot;R$ &quot;#,##0.00"/>
    <numFmt numFmtId="166" formatCode="#,##0.00_ ;[Red]\-#,##0.00\ "/>
    <numFmt numFmtId="167" formatCode="dd/mm/yy;@"/>
  </numFmts>
  <fonts count="40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vertAlign val="superscript"/>
      <sz val="10"/>
      <name val="Arial"/>
      <family val="2"/>
    </font>
    <font>
      <b/>
      <sz val="9"/>
      <color theme="1"/>
      <name val="Arial"/>
      <family val="2"/>
    </font>
    <font>
      <b/>
      <sz val="11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rgb="FFFF0000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70C0"/>
      <name val="Arial"/>
      <family val="2"/>
    </font>
    <font>
      <b/>
      <sz val="8"/>
      <color theme="1"/>
      <name val="Arial"/>
      <family val="2"/>
    </font>
    <font>
      <sz val="7"/>
      <color theme="1"/>
      <name val="Arial"/>
      <family val="2"/>
    </font>
    <font>
      <b/>
      <sz val="10"/>
      <color theme="3" tint="0.39997558519241921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sz val="6"/>
      <name val="Calibri"/>
      <family val="2"/>
      <scheme val="minor"/>
    </font>
    <font>
      <sz val="22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10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b/>
      <sz val="2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7" fillId="0" borderId="0" applyFont="0" applyFill="0" applyBorder="0" applyAlignment="0" applyProtection="0"/>
  </cellStyleXfs>
  <cellXfs count="8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64" fontId="2" fillId="0" borderId="0" xfId="0" applyNumberFormat="1" applyFont="1" applyBorder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Fill="1"/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164" fontId="2" fillId="0" borderId="0" xfId="0" applyNumberFormat="1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3" fillId="0" borderId="0" xfId="0" applyFont="1"/>
    <xf numFmtId="0" fontId="3" fillId="7" borderId="0" xfId="0" applyFont="1" applyFill="1" applyBorder="1"/>
    <xf numFmtId="0" fontId="12" fillId="7" borderId="0" xfId="0" applyFont="1" applyFill="1" applyBorder="1"/>
    <xf numFmtId="165" fontId="13" fillId="7" borderId="0" xfId="0" applyNumberFormat="1" applyFont="1" applyFill="1" applyBorder="1"/>
    <xf numFmtId="0" fontId="2" fillId="0" borderId="0" xfId="0" applyFont="1" applyFill="1" applyBorder="1" applyAlignment="1">
      <alignment horizontal="left" vertical="center" wrapText="1"/>
    </xf>
    <xf numFmtId="40" fontId="13" fillId="7" borderId="0" xfId="0" applyNumberFormat="1" applyFont="1" applyFill="1" applyBorder="1"/>
    <xf numFmtId="40" fontId="3" fillId="7" borderId="0" xfId="0" applyNumberFormat="1" applyFont="1" applyFill="1" applyBorder="1"/>
    <xf numFmtId="0" fontId="14" fillId="6" borderId="13" xfId="0" applyFont="1" applyFill="1" applyBorder="1" applyAlignment="1">
      <alignment horizontal="center" vertical="center"/>
    </xf>
    <xf numFmtId="40" fontId="3" fillId="0" borderId="14" xfId="0" applyNumberFormat="1" applyFont="1" applyBorder="1" applyAlignment="1">
      <alignment horizontal="center" vertical="center"/>
    </xf>
    <xf numFmtId="40" fontId="3" fillId="0" borderId="15" xfId="0" applyNumberFormat="1" applyFont="1" applyBorder="1" applyAlignment="1">
      <alignment horizontal="center" vertical="center"/>
    </xf>
    <xf numFmtId="40" fontId="3" fillId="0" borderId="16" xfId="0" applyNumberFormat="1" applyFont="1" applyBorder="1" applyAlignment="1">
      <alignment horizontal="center" vertical="center"/>
    </xf>
    <xf numFmtId="40" fontId="13" fillId="6" borderId="13" xfId="0" applyNumberFormat="1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6" fillId="6" borderId="17" xfId="0" applyFont="1" applyFill="1" applyBorder="1"/>
    <xf numFmtId="0" fontId="16" fillId="6" borderId="18" xfId="0" applyFont="1" applyFill="1" applyBorder="1"/>
    <xf numFmtId="164" fontId="8" fillId="0" borderId="0" xfId="0" applyNumberFormat="1" applyFont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0" fillId="7" borderId="0" xfId="0" applyFill="1" applyBorder="1"/>
    <xf numFmtId="40" fontId="3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vertical="center" wrapText="1"/>
    </xf>
    <xf numFmtId="0" fontId="0" fillId="0" borderId="21" xfId="0" applyBorder="1" applyAlignment="1">
      <alignment vertical="center"/>
    </xf>
    <xf numFmtId="0" fontId="2" fillId="0" borderId="22" xfId="0" applyFont="1" applyBorder="1" applyAlignment="1">
      <alignment vertical="center" wrapText="1"/>
    </xf>
    <xf numFmtId="0" fontId="2" fillId="0" borderId="22" xfId="0" applyFont="1" applyBorder="1" applyAlignment="1">
      <alignment horizontal="left" vertical="center" wrapText="1"/>
    </xf>
    <xf numFmtId="0" fontId="0" fillId="0" borderId="22" xfId="0" applyBorder="1" applyAlignment="1">
      <alignment vertical="center"/>
    </xf>
    <xf numFmtId="164" fontId="2" fillId="0" borderId="22" xfId="0" applyNumberFormat="1" applyFont="1" applyBorder="1" applyAlignment="1">
      <alignment vertical="center" wrapText="1"/>
    </xf>
    <xf numFmtId="0" fontId="0" fillId="0" borderId="21" xfId="0" applyBorder="1"/>
    <xf numFmtId="0" fontId="0" fillId="9" borderId="0" xfId="0" applyFill="1" applyBorder="1"/>
    <xf numFmtId="0" fontId="0" fillId="0" borderId="22" xfId="0" applyBorder="1"/>
    <xf numFmtId="0" fontId="0" fillId="7" borderId="0" xfId="0" applyFill="1" applyBorder="1" applyAlignment="1">
      <alignment horizontal="center"/>
    </xf>
    <xf numFmtId="0" fontId="16" fillId="7" borderId="0" xfId="0" applyFont="1" applyFill="1" applyBorder="1"/>
    <xf numFmtId="0" fontId="16" fillId="9" borderId="0" xfId="0" applyFont="1" applyFill="1" applyBorder="1"/>
    <xf numFmtId="0" fontId="3" fillId="9" borderId="0" xfId="0" applyFont="1" applyFill="1" applyBorder="1"/>
    <xf numFmtId="0" fontId="14" fillId="7" borderId="0" xfId="0" applyFont="1" applyFill="1" applyBorder="1" applyAlignment="1">
      <alignment horizontal="center" vertical="center"/>
    </xf>
    <xf numFmtId="165" fontId="3" fillId="9" borderId="0" xfId="0" applyNumberFormat="1" applyFont="1" applyFill="1" applyBorder="1" applyAlignment="1">
      <alignment horizontal="left"/>
    </xf>
    <xf numFmtId="0" fontId="0" fillId="0" borderId="21" xfId="0" applyFill="1" applyBorder="1"/>
    <xf numFmtId="0" fontId="17" fillId="7" borderId="0" xfId="0" applyFont="1" applyFill="1" applyBorder="1" applyAlignment="1">
      <alignment horizontal="center" vertical="center"/>
    </xf>
    <xf numFmtId="0" fontId="0" fillId="0" borderId="22" xfId="0" applyFill="1" applyBorder="1"/>
    <xf numFmtId="40" fontId="3" fillId="7" borderId="0" xfId="0" applyNumberFormat="1" applyFont="1" applyFill="1" applyBorder="1" applyAlignment="1">
      <alignment horizontal="center" vertical="center"/>
    </xf>
    <xf numFmtId="165" fontId="3" fillId="7" borderId="0" xfId="0" applyNumberFormat="1" applyFont="1" applyFill="1" applyBorder="1" applyAlignment="1">
      <alignment horizontal="center" vertical="center"/>
    </xf>
    <xf numFmtId="40" fontId="13" fillId="7" borderId="0" xfId="0" applyNumberFormat="1" applyFont="1" applyFill="1" applyBorder="1" applyAlignment="1">
      <alignment horizontal="center" vertical="center"/>
    </xf>
    <xf numFmtId="40" fontId="18" fillId="7" borderId="0" xfId="0" applyNumberFormat="1" applyFont="1" applyFill="1" applyBorder="1" applyAlignment="1">
      <alignment horizontal="center" vertical="center"/>
    </xf>
    <xf numFmtId="165" fontId="13" fillId="7" borderId="0" xfId="0" applyNumberFormat="1" applyFont="1" applyFill="1" applyBorder="1" applyAlignment="1">
      <alignment horizontal="center" vertical="center"/>
    </xf>
    <xf numFmtId="0" fontId="19" fillId="7" borderId="0" xfId="0" applyFont="1" applyFill="1" applyBorder="1"/>
    <xf numFmtId="0" fontId="20" fillId="7" borderId="0" xfId="0" applyFont="1" applyFill="1" applyBorder="1" applyAlignment="1"/>
    <xf numFmtId="0" fontId="20" fillId="9" borderId="0" xfId="0" applyFont="1" applyFill="1" applyBorder="1"/>
    <xf numFmtId="0" fontId="14" fillId="7" borderId="0" xfId="0" applyFont="1" applyFill="1" applyBorder="1" applyAlignment="1">
      <alignment horizontal="center" vertical="center" wrapText="1"/>
    </xf>
    <xf numFmtId="40" fontId="14" fillId="7" borderId="0" xfId="0" applyNumberFormat="1" applyFont="1" applyFill="1" applyBorder="1" applyAlignment="1">
      <alignment horizontal="center" vertical="center"/>
    </xf>
    <xf numFmtId="40" fontId="20" fillId="7" borderId="0" xfId="0" applyNumberFormat="1" applyFont="1" applyFill="1" applyBorder="1" applyAlignment="1">
      <alignment horizontal="center" vertical="center"/>
    </xf>
    <xf numFmtId="165" fontId="3" fillId="7" borderId="0" xfId="0" applyNumberFormat="1" applyFont="1" applyFill="1" applyBorder="1"/>
    <xf numFmtId="0" fontId="21" fillId="7" borderId="0" xfId="0" applyFont="1" applyFill="1" applyBorder="1"/>
    <xf numFmtId="165" fontId="21" fillId="7" borderId="0" xfId="0" applyNumberFormat="1" applyFont="1" applyFill="1" applyBorder="1"/>
    <xf numFmtId="165" fontId="3" fillId="9" borderId="0" xfId="0" applyNumberFormat="1" applyFont="1" applyFill="1" applyBorder="1"/>
    <xf numFmtId="0" fontId="21" fillId="9" borderId="0" xfId="0" applyFont="1" applyFill="1" applyBorder="1"/>
    <xf numFmtId="166" fontId="1" fillId="0" borderId="14" xfId="0" applyNumberFormat="1" applyFont="1" applyFill="1" applyBorder="1" applyAlignment="1">
      <alignment horizontal="center" vertical="center"/>
    </xf>
    <xf numFmtId="166" fontId="1" fillId="0" borderId="15" xfId="0" applyNumberFormat="1" applyFont="1" applyFill="1" applyBorder="1" applyAlignment="1">
      <alignment horizontal="center" vertical="center"/>
    </xf>
    <xf numFmtId="166" fontId="1" fillId="7" borderId="0" xfId="0" applyNumberFormat="1" applyFont="1" applyFill="1" applyBorder="1" applyAlignment="1">
      <alignment horizontal="center" vertical="center"/>
    </xf>
    <xf numFmtId="166" fontId="1" fillId="0" borderId="13" xfId="0" applyNumberFormat="1" applyFont="1" applyFill="1" applyBorder="1" applyAlignment="1">
      <alignment horizontal="center" vertical="center"/>
    </xf>
    <xf numFmtId="40" fontId="0" fillId="0" borderId="0" xfId="0" applyNumberFormat="1" applyAlignment="1">
      <alignment horizontal="center" vertical="center"/>
    </xf>
    <xf numFmtId="0" fontId="0" fillId="7" borderId="24" xfId="0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0" fontId="0" fillId="7" borderId="25" xfId="0" applyFill="1" applyBorder="1" applyAlignment="1">
      <alignment horizontal="center" vertical="center"/>
    </xf>
    <xf numFmtId="0" fontId="0" fillId="7" borderId="26" xfId="0" applyFill="1" applyBorder="1" applyAlignment="1">
      <alignment vertical="center"/>
    </xf>
    <xf numFmtId="0" fontId="0" fillId="7" borderId="27" xfId="0" applyFill="1" applyBorder="1" applyAlignment="1">
      <alignment vertical="center"/>
    </xf>
    <xf numFmtId="0" fontId="0" fillId="7" borderId="28" xfId="0" applyFill="1" applyBorder="1" applyAlignment="1">
      <alignment vertical="center"/>
    </xf>
    <xf numFmtId="40" fontId="7" fillId="7" borderId="0" xfId="0" applyNumberFormat="1" applyFont="1" applyFill="1" applyBorder="1" applyAlignment="1">
      <alignment horizontal="center" vertical="center"/>
    </xf>
    <xf numFmtId="40" fontId="0" fillId="7" borderId="0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vertical="center"/>
    </xf>
    <xf numFmtId="0" fontId="0" fillId="7" borderId="30" xfId="0" applyFill="1" applyBorder="1" applyAlignment="1">
      <alignment vertical="center"/>
    </xf>
    <xf numFmtId="40" fontId="0" fillId="7" borderId="30" xfId="0" applyNumberFormat="1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0" fontId="0" fillId="7" borderId="31" xfId="0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2" xfId="0" applyFill="1" applyBorder="1" applyAlignment="1">
      <alignment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5" xfId="0" applyFill="1" applyBorder="1" applyAlignment="1">
      <alignment vertical="center"/>
    </xf>
    <xf numFmtId="40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vertical="center"/>
    </xf>
    <xf numFmtId="166" fontId="1" fillId="0" borderId="16" xfId="0" applyNumberFormat="1" applyFont="1" applyFill="1" applyBorder="1" applyAlignment="1">
      <alignment horizontal="center" vertical="center"/>
    </xf>
    <xf numFmtId="40" fontId="10" fillId="0" borderId="37" xfId="0" applyNumberFormat="1" applyFont="1" applyBorder="1" applyAlignment="1">
      <alignment horizontal="center" vertical="center"/>
    </xf>
    <xf numFmtId="40" fontId="10" fillId="0" borderId="38" xfId="0" applyNumberFormat="1" applyFont="1" applyBorder="1" applyAlignment="1">
      <alignment horizontal="center" vertical="center"/>
    </xf>
    <xf numFmtId="40" fontId="10" fillId="0" borderId="39" xfId="0" applyNumberFormat="1" applyFont="1" applyBorder="1" applyAlignment="1">
      <alignment horizontal="center" vertical="center"/>
    </xf>
    <xf numFmtId="40" fontId="5" fillId="5" borderId="3" xfId="0" applyNumberFormat="1" applyFont="1" applyFill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4" fontId="1" fillId="7" borderId="0" xfId="0" applyNumberFormat="1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40" fontId="0" fillId="9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40" fontId="22" fillId="0" borderId="3" xfId="0" applyNumberFormat="1" applyFont="1" applyBorder="1" applyAlignment="1">
      <alignment horizontal="center" vertical="center"/>
    </xf>
    <xf numFmtId="40" fontId="22" fillId="7" borderId="0" xfId="0" applyNumberFormat="1" applyFont="1" applyFill="1" applyBorder="1" applyAlignment="1">
      <alignment horizontal="center" vertical="center"/>
    </xf>
    <xf numFmtId="166" fontId="23" fillId="7" borderId="0" xfId="0" applyNumberFormat="1" applyFont="1" applyFill="1" applyBorder="1" applyAlignment="1">
      <alignment horizontal="right" vertical="top"/>
    </xf>
    <xf numFmtId="0" fontId="0" fillId="9" borderId="0" xfId="0" applyFill="1" applyBorder="1" applyAlignment="1">
      <alignment horizontal="center"/>
    </xf>
    <xf numFmtId="0" fontId="0" fillId="0" borderId="4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3" fillId="0" borderId="0" xfId="0" applyFont="1" applyBorder="1"/>
    <xf numFmtId="40" fontId="3" fillId="0" borderId="20" xfId="0" applyNumberFormat="1" applyFont="1" applyFill="1" applyBorder="1" applyAlignment="1">
      <alignment horizontal="center" vertical="center"/>
    </xf>
    <xf numFmtId="166" fontId="26" fillId="11" borderId="1" xfId="0" applyNumberFormat="1" applyFont="1" applyFill="1" applyBorder="1" applyAlignment="1">
      <alignment horizontal="center" vertical="center"/>
    </xf>
    <xf numFmtId="165" fontId="28" fillId="0" borderId="3" xfId="0" applyNumberFormat="1" applyFont="1" applyBorder="1" applyAlignment="1">
      <alignment horizontal="center"/>
    </xf>
    <xf numFmtId="40" fontId="30" fillId="11" borderId="19" xfId="0" applyNumberFormat="1" applyFont="1" applyFill="1" applyBorder="1" applyAlignment="1">
      <alignment horizontal="center" vertical="center"/>
    </xf>
    <xf numFmtId="40" fontId="30" fillId="3" borderId="2" xfId="0" applyNumberFormat="1" applyFont="1" applyFill="1" applyBorder="1" applyAlignment="1">
      <alignment horizontal="center" vertical="center"/>
    </xf>
    <xf numFmtId="40" fontId="30" fillId="3" borderId="6" xfId="0" applyNumberFormat="1" applyFont="1" applyFill="1" applyBorder="1" applyAlignment="1">
      <alignment horizontal="center" vertical="center"/>
    </xf>
    <xf numFmtId="40" fontId="30" fillId="11" borderId="1" xfId="0" applyNumberFormat="1" applyFont="1" applyFill="1" applyBorder="1" applyAlignment="1">
      <alignment horizontal="center" vertical="center"/>
    </xf>
    <xf numFmtId="40" fontId="30" fillId="3" borderId="1" xfId="0" applyNumberFormat="1" applyFont="1" applyFill="1" applyBorder="1" applyAlignment="1">
      <alignment horizontal="center" vertical="center"/>
    </xf>
    <xf numFmtId="40" fontId="30" fillId="11" borderId="6" xfId="0" applyNumberFormat="1" applyFont="1" applyFill="1" applyBorder="1" applyAlignment="1">
      <alignment horizontal="center" vertical="center"/>
    </xf>
    <xf numFmtId="0" fontId="30" fillId="7" borderId="19" xfId="0" applyFont="1" applyFill="1" applyBorder="1" applyAlignment="1">
      <alignment vertical="center"/>
    </xf>
    <xf numFmtId="0" fontId="29" fillId="7" borderId="4" xfId="0" applyFont="1" applyFill="1" applyBorder="1" applyAlignment="1">
      <alignment vertical="center"/>
    </xf>
    <xf numFmtId="40" fontId="28" fillId="7" borderId="4" xfId="0" applyNumberFormat="1" applyFont="1" applyFill="1" applyBorder="1" applyAlignment="1">
      <alignment vertical="center"/>
    </xf>
    <xf numFmtId="0" fontId="25" fillId="7" borderId="5" xfId="0" applyFont="1" applyFill="1" applyBorder="1" applyAlignment="1">
      <alignment horizontal="center" vertical="center"/>
    </xf>
    <xf numFmtId="0" fontId="30" fillId="7" borderId="6" xfId="0" applyFont="1" applyFill="1" applyBorder="1" applyAlignment="1">
      <alignment vertical="center"/>
    </xf>
    <xf numFmtId="40" fontId="25" fillId="7" borderId="7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vertical="center"/>
    </xf>
    <xf numFmtId="40" fontId="28" fillId="7" borderId="0" xfId="0" applyNumberFormat="1" applyFont="1" applyFill="1" applyBorder="1" applyAlignment="1">
      <alignment vertical="center"/>
    </xf>
    <xf numFmtId="0" fontId="29" fillId="7" borderId="7" xfId="0" applyFont="1" applyFill="1" applyBorder="1" applyAlignment="1">
      <alignment vertical="center"/>
    </xf>
    <xf numFmtId="0" fontId="25" fillId="7" borderId="7" xfId="0" applyFont="1" applyFill="1" applyBorder="1" applyAlignment="1">
      <alignment horizontal="center" vertical="center"/>
    </xf>
    <xf numFmtId="0" fontId="29" fillId="7" borderId="7" xfId="0" applyFont="1" applyFill="1" applyBorder="1" applyAlignment="1">
      <alignment horizontal="center" vertical="center"/>
    </xf>
    <xf numFmtId="166" fontId="31" fillId="7" borderId="7" xfId="0" applyNumberFormat="1" applyFont="1" applyFill="1" applyBorder="1" applyAlignment="1">
      <alignment vertical="center"/>
    </xf>
    <xf numFmtId="0" fontId="29" fillId="7" borderId="0" xfId="0" applyFont="1" applyFill="1" applyBorder="1" applyAlignment="1">
      <alignment horizontal="center" vertical="center"/>
    </xf>
    <xf numFmtId="166" fontId="28" fillId="7" borderId="0" xfId="0" applyNumberFormat="1" applyFont="1" applyFill="1" applyBorder="1" applyAlignment="1">
      <alignment horizontal="center" vertical="center"/>
    </xf>
    <xf numFmtId="40" fontId="25" fillId="7" borderId="0" xfId="0" applyNumberFormat="1" applyFont="1" applyFill="1" applyBorder="1" applyAlignment="1">
      <alignment vertical="center"/>
    </xf>
    <xf numFmtId="0" fontId="30" fillId="7" borderId="0" xfId="0" applyFont="1" applyFill="1" applyAlignment="1">
      <alignment vertical="center"/>
    </xf>
    <xf numFmtId="0" fontId="30" fillId="7" borderId="7" xfId="0" applyFont="1" applyFill="1" applyBorder="1" applyAlignment="1">
      <alignment vertical="center"/>
    </xf>
    <xf numFmtId="0" fontId="30" fillId="7" borderId="8" xfId="0" applyFont="1" applyFill="1" applyBorder="1" applyAlignment="1">
      <alignment vertical="center"/>
    </xf>
    <xf numFmtId="0" fontId="30" fillId="7" borderId="9" xfId="0" applyFont="1" applyFill="1" applyBorder="1" applyAlignment="1">
      <alignment vertical="center"/>
    </xf>
    <xf numFmtId="0" fontId="29" fillId="7" borderId="10" xfId="0" applyFont="1" applyFill="1" applyBorder="1" applyAlignment="1">
      <alignment vertical="center"/>
    </xf>
    <xf numFmtId="40" fontId="28" fillId="0" borderId="12" xfId="0" applyNumberFormat="1" applyFont="1" applyBorder="1" applyAlignment="1">
      <alignment horizontal="center" vertical="center"/>
    </xf>
    <xf numFmtId="0" fontId="0" fillId="8" borderId="0" xfId="0" applyFill="1" applyBorder="1" applyAlignment="1">
      <alignment vertical="center"/>
    </xf>
    <xf numFmtId="0" fontId="30" fillId="8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0" fontId="29" fillId="8" borderId="0" xfId="0" applyFont="1" applyFill="1" applyBorder="1" applyAlignment="1">
      <alignment horizontal="left" vertical="center" wrapText="1"/>
    </xf>
    <xf numFmtId="164" fontId="29" fillId="8" borderId="0" xfId="0" applyNumberFormat="1" applyFont="1" applyFill="1" applyBorder="1" applyAlignment="1">
      <alignment horizontal="center" vertical="center" wrapText="1"/>
    </xf>
    <xf numFmtId="164" fontId="29" fillId="8" borderId="0" xfId="0" applyNumberFormat="1" applyFont="1" applyFill="1" applyBorder="1" applyAlignment="1">
      <alignment vertical="center" wrapText="1"/>
    </xf>
    <xf numFmtId="164" fontId="28" fillId="8" borderId="0" xfId="0" applyNumberFormat="1" applyFont="1" applyFill="1" applyAlignment="1">
      <alignment horizontal="center" vertical="center" wrapText="1"/>
    </xf>
    <xf numFmtId="165" fontId="28" fillId="8" borderId="0" xfId="0" applyNumberFormat="1" applyFont="1" applyFill="1" applyAlignment="1">
      <alignment horizontal="center"/>
    </xf>
    <xf numFmtId="0" fontId="28" fillId="8" borderId="0" xfId="0" applyFont="1" applyFill="1" applyAlignment="1">
      <alignment horizontal="center" vertical="center"/>
    </xf>
    <xf numFmtId="165" fontId="28" fillId="0" borderId="3" xfId="0" applyNumberFormat="1" applyFont="1" applyFill="1" applyBorder="1" applyAlignment="1">
      <alignment horizontal="center"/>
    </xf>
    <xf numFmtId="0" fontId="0" fillId="8" borderId="0" xfId="0" applyFill="1" applyAlignment="1">
      <alignment vertical="center"/>
    </xf>
    <xf numFmtId="40" fontId="30" fillId="8" borderId="0" xfId="0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40" fontId="28" fillId="8" borderId="0" xfId="0" applyNumberFormat="1" applyFont="1" applyFill="1" applyAlignment="1">
      <alignment vertical="center"/>
    </xf>
    <xf numFmtId="0" fontId="29" fillId="8" borderId="0" xfId="0" applyFont="1" applyFill="1" applyAlignment="1">
      <alignment vertical="center"/>
    </xf>
    <xf numFmtId="40" fontId="28" fillId="8" borderId="0" xfId="0" applyNumberFormat="1" applyFont="1" applyFill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40" fontId="30" fillId="8" borderId="0" xfId="0" applyNumberFormat="1" applyFont="1" applyFill="1" applyAlignment="1">
      <alignment vertical="center"/>
    </xf>
    <xf numFmtId="40" fontId="25" fillId="8" borderId="0" xfId="0" applyNumberFormat="1" applyFont="1" applyFill="1" applyBorder="1" applyAlignment="1">
      <alignment horizontal="center" vertical="center" wrapText="1"/>
    </xf>
    <xf numFmtId="40" fontId="30" fillId="8" borderId="0" xfId="0" applyNumberFormat="1" applyFont="1" applyFill="1" applyAlignment="1">
      <alignment horizontal="center" vertical="center"/>
    </xf>
    <xf numFmtId="40" fontId="30" fillId="8" borderId="0" xfId="0" applyNumberFormat="1" applyFont="1" applyFill="1" applyBorder="1" applyAlignment="1">
      <alignment horizontal="center" vertical="center"/>
    </xf>
    <xf numFmtId="0" fontId="28" fillId="8" borderId="0" xfId="0" applyFont="1" applyFill="1" applyBorder="1" applyAlignment="1">
      <alignment horizontal="center" vertical="center" wrapText="1"/>
    </xf>
    <xf numFmtId="40" fontId="28" fillId="8" borderId="6" xfId="0" applyNumberFormat="1" applyFont="1" applyFill="1" applyBorder="1" applyAlignment="1">
      <alignment horizontal="center" vertical="center" wrapText="1"/>
    </xf>
    <xf numFmtId="40" fontId="30" fillId="8" borderId="6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25" fillId="8" borderId="0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30" fillId="0" borderId="0" xfId="0" applyFont="1" applyAlignment="1">
      <alignment vertical="center"/>
    </xf>
    <xf numFmtId="164" fontId="34" fillId="10" borderId="11" xfId="0" applyNumberFormat="1" applyFont="1" applyFill="1" applyBorder="1" applyAlignment="1">
      <alignment vertical="center" wrapText="1"/>
    </xf>
    <xf numFmtId="164" fontId="34" fillId="10" borderId="23" xfId="0" applyNumberFormat="1" applyFont="1" applyFill="1" applyBorder="1" applyAlignment="1">
      <alignment vertical="center" wrapText="1"/>
    </xf>
    <xf numFmtId="164" fontId="29" fillId="4" borderId="19" xfId="0" applyNumberFormat="1" applyFont="1" applyFill="1" applyBorder="1" applyAlignment="1">
      <alignment horizontal="center" vertical="center" wrapText="1"/>
    </xf>
    <xf numFmtId="164" fontId="29" fillId="4" borderId="4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 applyAlignment="1">
      <alignment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vertical="center"/>
    </xf>
    <xf numFmtId="0" fontId="30" fillId="4" borderId="6" xfId="0" applyFont="1" applyFill="1" applyBorder="1" applyAlignment="1">
      <alignment vertical="center"/>
    </xf>
    <xf numFmtId="0" fontId="30" fillId="4" borderId="0" xfId="0" applyFont="1" applyFill="1" applyBorder="1" applyAlignment="1">
      <alignment vertical="center"/>
    </xf>
    <xf numFmtId="164" fontId="29" fillId="4" borderId="0" xfId="0" applyNumberFormat="1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vertical="center"/>
    </xf>
    <xf numFmtId="0" fontId="30" fillId="4" borderId="7" xfId="0" applyFont="1" applyFill="1" applyBorder="1" applyAlignment="1">
      <alignment vertical="center"/>
    </xf>
    <xf numFmtId="164" fontId="29" fillId="4" borderId="0" xfId="0" applyNumberFormat="1" applyFont="1" applyFill="1" applyBorder="1" applyAlignment="1">
      <alignment horizontal="center" vertical="center" wrapText="1"/>
    </xf>
    <xf numFmtId="164" fontId="29" fillId="4" borderId="0" xfId="0" applyNumberFormat="1" applyFont="1" applyFill="1" applyBorder="1" applyAlignment="1">
      <alignment vertical="center" wrapText="1"/>
    </xf>
    <xf numFmtId="0" fontId="30" fillId="4" borderId="0" xfId="0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30" fillId="0" borderId="0" xfId="0" applyFont="1" applyFill="1"/>
    <xf numFmtId="0" fontId="30" fillId="4" borderId="6" xfId="0" applyFont="1" applyFill="1" applyBorder="1"/>
    <xf numFmtId="0" fontId="30" fillId="4" borderId="0" xfId="0" applyFont="1" applyFill="1" applyBorder="1"/>
    <xf numFmtId="0" fontId="30" fillId="4" borderId="7" xfId="0" applyFont="1" applyFill="1" applyBorder="1"/>
    <xf numFmtId="4" fontId="25" fillId="4" borderId="0" xfId="0" applyNumberFormat="1" applyFont="1" applyFill="1" applyBorder="1" applyAlignment="1">
      <alignment horizontal="center"/>
    </xf>
    <xf numFmtId="0" fontId="30" fillId="0" borderId="0" xfId="0" applyFont="1"/>
    <xf numFmtId="164" fontId="28" fillId="3" borderId="3" xfId="0" applyNumberFormat="1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/>
    </xf>
    <xf numFmtId="0" fontId="28" fillId="4" borderId="0" xfId="0" applyNumberFormat="1" applyFont="1" applyFill="1" applyBorder="1" applyAlignment="1">
      <alignment horizontal="center"/>
    </xf>
    <xf numFmtId="40" fontId="25" fillId="4" borderId="9" xfId="0" applyNumberFormat="1" applyFont="1" applyFill="1" applyBorder="1" applyAlignment="1">
      <alignment horizontal="center"/>
    </xf>
    <xf numFmtId="0" fontId="30" fillId="4" borderId="8" xfId="0" applyFont="1" applyFill="1" applyBorder="1"/>
    <xf numFmtId="0" fontId="28" fillId="4" borderId="9" xfId="0" applyFont="1" applyFill="1" applyBorder="1" applyAlignment="1">
      <alignment horizontal="center" vertical="center"/>
    </xf>
    <xf numFmtId="0" fontId="30" fillId="4" borderId="9" xfId="0" applyFont="1" applyFill="1" applyBorder="1"/>
    <xf numFmtId="40" fontId="28" fillId="4" borderId="9" xfId="0" applyNumberFormat="1" applyFont="1" applyFill="1" applyBorder="1" applyAlignment="1">
      <alignment horizontal="center"/>
    </xf>
    <xf numFmtId="0" fontId="30" fillId="4" borderId="10" xfId="0" applyFont="1" applyFill="1" applyBorder="1"/>
    <xf numFmtId="0" fontId="28" fillId="0" borderId="0" xfId="0" applyFont="1" applyBorder="1" applyAlignment="1">
      <alignment horizontal="center" vertical="center"/>
    </xf>
    <xf numFmtId="164" fontId="29" fillId="7" borderId="19" xfId="0" applyNumberFormat="1" applyFont="1" applyFill="1" applyBorder="1" applyAlignment="1">
      <alignment horizontal="center" vertical="center" wrapText="1"/>
    </xf>
    <xf numFmtId="164" fontId="29" fillId="7" borderId="4" xfId="0" applyNumberFormat="1" applyFont="1" applyFill="1" applyBorder="1" applyAlignment="1">
      <alignment horizontal="center" vertical="center" wrapText="1"/>
    </xf>
    <xf numFmtId="0" fontId="30" fillId="7" borderId="4" xfId="0" applyFont="1" applyFill="1" applyBorder="1" applyAlignment="1">
      <alignment vertical="center"/>
    </xf>
    <xf numFmtId="0" fontId="30" fillId="7" borderId="4" xfId="0" applyFont="1" applyFill="1" applyBorder="1" applyAlignment="1">
      <alignment horizontal="center" vertical="center"/>
    </xf>
    <xf numFmtId="0" fontId="30" fillId="7" borderId="5" xfId="0" applyFont="1" applyFill="1" applyBorder="1" applyAlignment="1">
      <alignment vertical="center"/>
    </xf>
    <xf numFmtId="0" fontId="28" fillId="7" borderId="4" xfId="0" applyFont="1" applyFill="1" applyBorder="1" applyAlignment="1">
      <alignment vertical="center"/>
    </xf>
    <xf numFmtId="0" fontId="28" fillId="7" borderId="0" xfId="0" applyFont="1" applyFill="1" applyBorder="1" applyAlignment="1">
      <alignment vertical="center"/>
    </xf>
    <xf numFmtId="0" fontId="30" fillId="7" borderId="0" xfId="0" applyFont="1" applyFill="1" applyBorder="1" applyAlignment="1">
      <alignment vertical="center"/>
    </xf>
    <xf numFmtId="164" fontId="29" fillId="7" borderId="0" xfId="0" applyNumberFormat="1" applyFont="1" applyFill="1" applyBorder="1" applyAlignment="1">
      <alignment horizontal="center" vertical="center" wrapText="1"/>
    </xf>
    <xf numFmtId="164" fontId="29" fillId="7" borderId="0" xfId="0" applyNumberFormat="1" applyFont="1" applyFill="1" applyBorder="1" applyAlignment="1">
      <alignment vertical="center" wrapText="1"/>
    </xf>
    <xf numFmtId="0" fontId="30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0" fillId="7" borderId="6" xfId="0" applyFont="1" applyFill="1" applyBorder="1"/>
    <xf numFmtId="0" fontId="30" fillId="7" borderId="0" xfId="0" applyFont="1" applyFill="1" applyBorder="1"/>
    <xf numFmtId="0" fontId="30" fillId="7" borderId="7" xfId="0" applyFont="1" applyFill="1" applyBorder="1"/>
    <xf numFmtId="4" fontId="25" fillId="7" borderId="0" xfId="0" applyNumberFormat="1" applyFont="1" applyFill="1" applyBorder="1" applyAlignment="1">
      <alignment horizontal="center"/>
    </xf>
    <xf numFmtId="1" fontId="25" fillId="7" borderId="0" xfId="0" applyNumberFormat="1" applyFont="1" applyFill="1" applyBorder="1" applyAlignment="1">
      <alignment horizontal="center"/>
    </xf>
    <xf numFmtId="0" fontId="28" fillId="7" borderId="9" xfId="0" applyFont="1" applyFill="1" applyBorder="1" applyAlignment="1">
      <alignment vertical="center"/>
    </xf>
    <xf numFmtId="0" fontId="28" fillId="7" borderId="0" xfId="0" applyNumberFormat="1" applyFont="1" applyFill="1" applyBorder="1" applyAlignment="1">
      <alignment horizontal="center"/>
    </xf>
    <xf numFmtId="0" fontId="27" fillId="7" borderId="0" xfId="0" applyFont="1" applyFill="1" applyBorder="1" applyAlignment="1">
      <alignment vertical="center" textRotation="90"/>
    </xf>
    <xf numFmtId="1" fontId="28" fillId="7" borderId="0" xfId="0" applyNumberFormat="1" applyFont="1" applyFill="1" applyBorder="1" applyAlignment="1">
      <alignment horizontal="center"/>
    </xf>
    <xf numFmtId="0" fontId="30" fillId="7" borderId="19" xfId="0" applyFont="1" applyFill="1" applyBorder="1"/>
    <xf numFmtId="4" fontId="28" fillId="7" borderId="4" xfId="0" applyNumberFormat="1" applyFont="1" applyFill="1" applyBorder="1" applyAlignment="1">
      <alignment horizontal="center" vertical="center"/>
    </xf>
    <xf numFmtId="0" fontId="30" fillId="7" borderId="5" xfId="0" applyFont="1" applyFill="1" applyBorder="1"/>
    <xf numFmtId="0" fontId="30" fillId="7" borderId="0" xfId="0" applyFont="1" applyFill="1"/>
    <xf numFmtId="0" fontId="28" fillId="7" borderId="0" xfId="0" applyFont="1" applyFill="1" applyBorder="1" applyAlignment="1">
      <alignment horizontal="center" vertical="center" textRotation="90"/>
    </xf>
    <xf numFmtId="40" fontId="28" fillId="7" borderId="0" xfId="0" applyNumberFormat="1" applyFont="1" applyFill="1" applyBorder="1" applyAlignment="1">
      <alignment horizontal="center"/>
    </xf>
    <xf numFmtId="40" fontId="25" fillId="7" borderId="0" xfId="0" applyNumberFormat="1" applyFont="1" applyFill="1" applyBorder="1" applyAlignment="1">
      <alignment horizontal="center"/>
    </xf>
    <xf numFmtId="166" fontId="25" fillId="7" borderId="0" xfId="0" applyNumberFormat="1" applyFont="1" applyFill="1" applyBorder="1" applyAlignment="1">
      <alignment vertical="center"/>
    </xf>
    <xf numFmtId="0" fontId="30" fillId="7" borderId="8" xfId="0" applyFont="1" applyFill="1" applyBorder="1"/>
    <xf numFmtId="0" fontId="28" fillId="7" borderId="9" xfId="0" applyFont="1" applyFill="1" applyBorder="1" applyAlignment="1">
      <alignment horizontal="center" vertical="center"/>
    </xf>
    <xf numFmtId="0" fontId="30" fillId="7" borderId="9" xfId="0" applyFont="1" applyFill="1" applyBorder="1"/>
    <xf numFmtId="40" fontId="28" fillId="7" borderId="9" xfId="0" applyNumberFormat="1" applyFont="1" applyFill="1" applyBorder="1" applyAlignment="1">
      <alignment horizontal="center"/>
    </xf>
    <xf numFmtId="0" fontId="30" fillId="7" borderId="10" xfId="0" applyFont="1" applyFill="1" applyBorder="1"/>
    <xf numFmtId="0" fontId="30" fillId="7" borderId="9" xfId="0" applyFont="1" applyFill="1" applyBorder="1" applyAlignment="1">
      <alignment horizontal="center" vertical="center"/>
    </xf>
    <xf numFmtId="40" fontId="25" fillId="7" borderId="9" xfId="0" applyNumberFormat="1" applyFont="1" applyFill="1" applyBorder="1" applyAlignment="1">
      <alignment horizontal="center" vertical="center"/>
    </xf>
    <xf numFmtId="164" fontId="29" fillId="7" borderId="9" xfId="0" applyNumberFormat="1" applyFont="1" applyFill="1" applyBorder="1" applyAlignment="1">
      <alignment horizontal="center" vertical="center" wrapText="1"/>
    </xf>
    <xf numFmtId="0" fontId="26" fillId="6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horizontal="center"/>
    </xf>
    <xf numFmtId="0" fontId="28" fillId="0" borderId="2" xfId="0" applyFont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4" fontId="30" fillId="7" borderId="2" xfId="0" applyNumberFormat="1" applyFont="1" applyFill="1" applyBorder="1" applyAlignment="1">
      <alignment horizontal="center"/>
    </xf>
    <xf numFmtId="4" fontId="28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0" fillId="11" borderId="1" xfId="0" applyFont="1" applyFill="1" applyBorder="1" applyAlignment="1">
      <alignment horizontal="center" vertical="center"/>
    </xf>
    <xf numFmtId="4" fontId="30" fillId="0" borderId="1" xfId="0" applyNumberFormat="1" applyFont="1" applyBorder="1" applyAlignment="1">
      <alignment horizontal="center"/>
    </xf>
    <xf numFmtId="4" fontId="28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4" fontId="30" fillId="7" borderId="1" xfId="0" applyNumberFormat="1" applyFont="1" applyFill="1" applyBorder="1" applyAlignment="1">
      <alignment horizontal="center"/>
    </xf>
    <xf numFmtId="0" fontId="28" fillId="0" borderId="1" xfId="0" applyFont="1" applyFill="1" applyBorder="1" applyAlignment="1">
      <alignment horizontal="center" vertical="center"/>
    </xf>
    <xf numFmtId="4" fontId="30" fillId="0" borderId="1" xfId="0" applyNumberFormat="1" applyFont="1" applyFill="1" applyBorder="1" applyAlignment="1">
      <alignment horizontal="center"/>
    </xf>
    <xf numFmtId="0" fontId="28" fillId="0" borderId="12" xfId="0" applyFont="1" applyBorder="1" applyAlignment="1">
      <alignment horizontal="center" vertical="center"/>
    </xf>
    <xf numFmtId="0" fontId="30" fillId="11" borderId="12" xfId="0" applyFont="1" applyFill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/>
    </xf>
    <xf numFmtId="4" fontId="28" fillId="0" borderId="12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40" fontId="25" fillId="7" borderId="4" xfId="0" applyNumberFormat="1" applyFont="1" applyFill="1" applyBorder="1" applyAlignment="1">
      <alignment horizontal="center"/>
    </xf>
    <xf numFmtId="40" fontId="25" fillId="4" borderId="0" xfId="0" applyNumberFormat="1" applyFont="1" applyFill="1" applyBorder="1" applyAlignment="1">
      <alignment horizontal="center"/>
    </xf>
    <xf numFmtId="40" fontId="25" fillId="4" borderId="4" xfId="0" applyNumberFormat="1" applyFont="1" applyFill="1" applyBorder="1" applyAlignment="1">
      <alignment horizontal="center"/>
    </xf>
    <xf numFmtId="0" fontId="26" fillId="0" borderId="37" xfId="0" applyFont="1" applyFill="1" applyBorder="1" applyAlignment="1">
      <alignment horizontal="center" vertical="center"/>
    </xf>
    <xf numFmtId="0" fontId="26" fillId="0" borderId="38" xfId="0" applyFont="1" applyFill="1" applyBorder="1" applyAlignment="1">
      <alignment horizontal="center" vertical="center"/>
    </xf>
    <xf numFmtId="0" fontId="0" fillId="0" borderId="39" xfId="0" applyFill="1" applyBorder="1"/>
    <xf numFmtId="0" fontId="28" fillId="0" borderId="42" xfId="0" applyFont="1" applyBorder="1" applyAlignment="1">
      <alignment horizontal="center"/>
    </xf>
    <xf numFmtId="4" fontId="28" fillId="0" borderId="62" xfId="0" applyNumberFormat="1" applyFont="1" applyBorder="1" applyAlignment="1">
      <alignment horizontal="center"/>
    </xf>
    <xf numFmtId="4" fontId="28" fillId="0" borderId="43" xfId="0" applyNumberFormat="1" applyFont="1" applyBorder="1" applyAlignment="1">
      <alignment horizontal="center"/>
    </xf>
    <xf numFmtId="4" fontId="28" fillId="0" borderId="42" xfId="0" applyNumberFormat="1" applyFont="1" applyBorder="1" applyAlignment="1">
      <alignment horizontal="center"/>
    </xf>
    <xf numFmtId="0" fontId="28" fillId="3" borderId="42" xfId="0" applyFont="1" applyFill="1" applyBorder="1" applyAlignment="1">
      <alignment horizontal="center" vertical="center"/>
    </xf>
    <xf numFmtId="0" fontId="28" fillId="3" borderId="43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4" fontId="28" fillId="0" borderId="3" xfId="0" applyNumberFormat="1" applyFont="1" applyBorder="1" applyAlignment="1">
      <alignment horizontal="center"/>
    </xf>
    <xf numFmtId="0" fontId="26" fillId="0" borderId="3" xfId="0" applyFont="1" applyFill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/>
    </xf>
    <xf numFmtId="0" fontId="26" fillId="0" borderId="43" xfId="0" applyFont="1" applyFill="1" applyBorder="1" applyAlignment="1">
      <alignment horizontal="center" vertical="center"/>
    </xf>
    <xf numFmtId="0" fontId="26" fillId="0" borderId="6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30" fillId="9" borderId="0" xfId="0" applyFont="1" applyFill="1" applyAlignment="1">
      <alignment vertical="center"/>
    </xf>
    <xf numFmtId="0" fontId="30" fillId="9" borderId="0" xfId="0" applyFont="1" applyFill="1"/>
    <xf numFmtId="0" fontId="0" fillId="9" borderId="0" xfId="0" applyFill="1"/>
    <xf numFmtId="0" fontId="30" fillId="9" borderId="0" xfId="0" applyFont="1" applyFill="1" applyAlignment="1">
      <alignment horizontal="center" vertical="center"/>
    </xf>
    <xf numFmtId="0" fontId="30" fillId="0" borderId="0" xfId="0" applyFont="1" applyFill="1" applyAlignment="1">
      <alignment vertical="center"/>
    </xf>
    <xf numFmtId="0" fontId="30" fillId="5" borderId="0" xfId="0" applyFont="1" applyFill="1" applyBorder="1" applyAlignment="1">
      <alignment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0" xfId="0" applyFont="1" applyFill="1" applyAlignment="1">
      <alignment vertical="center"/>
    </xf>
    <xf numFmtId="0" fontId="29" fillId="5" borderId="0" xfId="0" applyFont="1" applyFill="1" applyBorder="1" applyAlignment="1">
      <alignment horizontal="left" vertical="center" wrapText="1"/>
    </xf>
    <xf numFmtId="0" fontId="30" fillId="5" borderId="0" xfId="0" applyFont="1" applyFill="1"/>
    <xf numFmtId="164" fontId="29" fillId="5" borderId="0" xfId="0" applyNumberFormat="1" applyFont="1" applyFill="1" applyBorder="1" applyAlignment="1">
      <alignment horizontal="center" vertical="center" wrapText="1"/>
    </xf>
    <xf numFmtId="0" fontId="28" fillId="5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40" fontId="28" fillId="5" borderId="0" xfId="0" applyNumberFormat="1" applyFont="1" applyFill="1" applyBorder="1" applyAlignment="1">
      <alignment horizontal="center"/>
    </xf>
    <xf numFmtId="4" fontId="26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0" fontId="30" fillId="5" borderId="0" xfId="0" applyFont="1" applyFill="1" applyBorder="1"/>
    <xf numFmtId="0" fontId="30" fillId="5" borderId="9" xfId="0" applyFont="1" applyFill="1" applyBorder="1"/>
    <xf numFmtId="4" fontId="26" fillId="5" borderId="0" xfId="0" applyNumberFormat="1" applyFont="1" applyFill="1" applyBorder="1" applyAlignment="1">
      <alignment horizontal="center" vertical="center"/>
    </xf>
    <xf numFmtId="4" fontId="28" fillId="5" borderId="0" xfId="0" applyNumberFormat="1" applyFont="1" applyFill="1" applyBorder="1" applyAlignment="1">
      <alignment horizontal="center" vertical="center"/>
    </xf>
    <xf numFmtId="164" fontId="29" fillId="5" borderId="0" xfId="0" applyNumberFormat="1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vertical="center"/>
    </xf>
    <xf numFmtId="0" fontId="29" fillId="5" borderId="0" xfId="0" applyFont="1" applyFill="1" applyBorder="1" applyAlignment="1">
      <alignment vertical="center"/>
    </xf>
    <xf numFmtId="164" fontId="29" fillId="5" borderId="0" xfId="0" applyNumberFormat="1" applyFont="1" applyFill="1" applyBorder="1" applyAlignment="1">
      <alignment vertical="center" wrapText="1"/>
    </xf>
    <xf numFmtId="4" fontId="30" fillId="5" borderId="0" xfId="0" applyNumberFormat="1" applyFont="1" applyFill="1" applyBorder="1" applyAlignment="1">
      <alignment horizontal="center"/>
    </xf>
    <xf numFmtId="4" fontId="25" fillId="5" borderId="0" xfId="0" applyNumberFormat="1" applyFont="1" applyFill="1" applyBorder="1" applyAlignment="1">
      <alignment horizontal="center"/>
    </xf>
    <xf numFmtId="0" fontId="28" fillId="5" borderId="0" xfId="0" applyFont="1" applyFill="1" applyBorder="1" applyAlignment="1">
      <alignment horizontal="center"/>
    </xf>
    <xf numFmtId="0" fontId="28" fillId="5" borderId="0" xfId="0" applyNumberFormat="1" applyFont="1" applyFill="1" applyBorder="1" applyAlignment="1">
      <alignment horizontal="center"/>
    </xf>
    <xf numFmtId="4" fontId="30" fillId="5" borderId="0" xfId="0" applyNumberFormat="1" applyFont="1" applyFill="1" applyAlignment="1">
      <alignment horizontal="center"/>
    </xf>
    <xf numFmtId="40" fontId="25" fillId="5" borderId="0" xfId="0" applyNumberFormat="1" applyFont="1" applyFill="1" applyBorder="1" applyAlignment="1">
      <alignment horizontal="center"/>
    </xf>
    <xf numFmtId="4" fontId="28" fillId="5" borderId="0" xfId="0" applyNumberFormat="1" applyFont="1" applyFill="1" applyAlignment="1">
      <alignment horizontal="center" vertical="center"/>
    </xf>
    <xf numFmtId="40" fontId="28" fillId="5" borderId="0" xfId="0" applyNumberFormat="1" applyFont="1" applyFill="1" applyBorder="1" applyAlignment="1"/>
    <xf numFmtId="0" fontId="25" fillId="5" borderId="0" xfId="0" applyFont="1" applyFill="1" applyBorder="1" applyAlignment="1">
      <alignment horizontal="center"/>
    </xf>
    <xf numFmtId="0" fontId="29" fillId="5" borderId="0" xfId="0" applyFont="1" applyFill="1" applyBorder="1" applyAlignment="1">
      <alignment vertical="center" wrapText="1"/>
    </xf>
    <xf numFmtId="16" fontId="30" fillId="5" borderId="0" xfId="0" applyNumberFormat="1" applyFont="1" applyFill="1" applyBorder="1" applyAlignment="1">
      <alignment vertical="center"/>
    </xf>
    <xf numFmtId="4" fontId="30" fillId="5" borderId="0" xfId="0" applyNumberFormat="1" applyFont="1" applyFill="1" applyBorder="1" applyAlignment="1">
      <alignment horizontal="center" vertical="center"/>
    </xf>
    <xf numFmtId="164" fontId="29" fillId="5" borderId="4" xfId="0" applyNumberFormat="1" applyFont="1" applyFill="1" applyBorder="1" applyAlignment="1">
      <alignment vertical="center" wrapText="1"/>
    </xf>
    <xf numFmtId="0" fontId="30" fillId="5" borderId="4" xfId="0" applyFont="1" applyFill="1" applyBorder="1" applyAlignment="1">
      <alignment horizontal="center" vertical="center"/>
    </xf>
    <xf numFmtId="0" fontId="30" fillId="5" borderId="4" xfId="0" applyFont="1" applyFill="1" applyBorder="1" applyAlignment="1">
      <alignment vertical="center"/>
    </xf>
    <xf numFmtId="0" fontId="36" fillId="5" borderId="0" xfId="0" applyFont="1" applyFill="1" applyBorder="1" applyAlignment="1">
      <alignment horizontal="center" vertical="center"/>
    </xf>
    <xf numFmtId="164" fontId="29" fillId="5" borderId="7" xfId="0" applyNumberFormat="1" applyFont="1" applyFill="1" applyBorder="1" applyAlignment="1">
      <alignment horizontal="center" vertical="center" wrapText="1"/>
    </xf>
    <xf numFmtId="0" fontId="30" fillId="5" borderId="7" xfId="0" applyFont="1" applyFill="1" applyBorder="1" applyAlignment="1">
      <alignment vertical="center"/>
    </xf>
    <xf numFmtId="0" fontId="30" fillId="5" borderId="7" xfId="0" applyFont="1" applyFill="1" applyBorder="1"/>
    <xf numFmtId="0" fontId="25" fillId="5" borderId="0" xfId="0" applyFont="1" applyFill="1" applyAlignment="1">
      <alignment horizontal="center" vertical="center"/>
    </xf>
    <xf numFmtId="0" fontId="28" fillId="5" borderId="7" xfId="0" applyFont="1" applyFill="1" applyBorder="1" applyAlignment="1">
      <alignment vertical="center" textRotation="90"/>
    </xf>
    <xf numFmtId="0" fontId="30" fillId="5" borderId="6" xfId="0" applyFont="1" applyFill="1" applyBorder="1"/>
    <xf numFmtId="0" fontId="26" fillId="5" borderId="0" xfId="0" applyFont="1" applyFill="1" applyBorder="1" applyAlignment="1">
      <alignment vertical="center" wrapText="1"/>
    </xf>
    <xf numFmtId="0" fontId="28" fillId="5" borderId="0" xfId="0" applyFont="1" applyFill="1" applyAlignment="1">
      <alignment horizontal="center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28" fillId="5" borderId="0" xfId="0" applyFont="1" applyFill="1" applyAlignment="1">
      <alignment horizontal="center"/>
    </xf>
    <xf numFmtId="0" fontId="28" fillId="5" borderId="0" xfId="0" applyFont="1" applyFill="1" applyAlignment="1">
      <alignment vertical="center" wrapText="1"/>
    </xf>
    <xf numFmtId="164" fontId="29" fillId="5" borderId="0" xfId="0" applyNumberFormat="1" applyFont="1" applyFill="1" applyBorder="1" applyAlignment="1">
      <alignment horizontal="center" vertical="center" wrapText="1"/>
    </xf>
    <xf numFmtId="0" fontId="30" fillId="5" borderId="1" xfId="0" applyFont="1" applyFill="1" applyBorder="1"/>
    <xf numFmtId="4" fontId="28" fillId="5" borderId="0" xfId="0" applyNumberFormat="1" applyFont="1" applyFill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4" fontId="30" fillId="5" borderId="0" xfId="0" applyNumberFormat="1" applyFont="1" applyFill="1"/>
    <xf numFmtId="4" fontId="30" fillId="5" borderId="0" xfId="0" applyNumberFormat="1" applyFont="1" applyFill="1" applyBorder="1"/>
    <xf numFmtId="0" fontId="30" fillId="5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30" fillId="5" borderId="0" xfId="0" applyFont="1" applyFill="1" applyBorder="1" applyAlignment="1">
      <alignment horizontal="center"/>
    </xf>
    <xf numFmtId="3" fontId="28" fillId="6" borderId="3" xfId="0" applyNumberFormat="1" applyFont="1" applyFill="1" applyBorder="1" applyAlignment="1">
      <alignment horizontal="center"/>
    </xf>
    <xf numFmtId="0" fontId="30" fillId="5" borderId="11" xfId="0" applyFont="1" applyFill="1" applyBorder="1" applyAlignment="1">
      <alignment horizontal="center" vertical="center"/>
    </xf>
    <xf numFmtId="3" fontId="28" fillId="6" borderId="42" xfId="0" applyNumberFormat="1" applyFont="1" applyFill="1" applyBorder="1" applyAlignment="1">
      <alignment horizontal="center"/>
    </xf>
    <xf numFmtId="3" fontId="28" fillId="6" borderId="43" xfId="0" applyNumberFormat="1" applyFont="1" applyFill="1" applyBorder="1" applyAlignment="1">
      <alignment horizontal="center"/>
    </xf>
    <xf numFmtId="3" fontId="28" fillId="6" borderId="62" xfId="0" applyNumberFormat="1" applyFont="1" applyFill="1" applyBorder="1" applyAlignment="1">
      <alignment horizontal="center"/>
    </xf>
    <xf numFmtId="3" fontId="28" fillId="8" borderId="42" xfId="0" applyNumberFormat="1" applyFont="1" applyFill="1" applyBorder="1" applyAlignment="1">
      <alignment horizontal="center" vertical="center"/>
    </xf>
    <xf numFmtId="3" fontId="28" fillId="8" borderId="43" xfId="0" applyNumberFormat="1" applyFont="1" applyFill="1" applyBorder="1" applyAlignment="1">
      <alignment horizontal="center" vertical="center"/>
    </xf>
    <xf numFmtId="3" fontId="28" fillId="8" borderId="62" xfId="0" applyNumberFormat="1" applyFont="1" applyFill="1" applyBorder="1" applyAlignment="1">
      <alignment horizontal="center" vertical="center"/>
    </xf>
    <xf numFmtId="0" fontId="30" fillId="10" borderId="0" xfId="0" applyFont="1" applyFill="1" applyBorder="1" applyAlignment="1">
      <alignment vertical="center"/>
    </xf>
    <xf numFmtId="0" fontId="30" fillId="10" borderId="0" xfId="0" applyFont="1" applyFill="1" applyBorder="1"/>
    <xf numFmtId="0" fontId="28" fillId="10" borderId="0" xfId="0" applyFont="1" applyFill="1" applyBorder="1" applyAlignment="1">
      <alignment horizontal="center" vertical="center"/>
    </xf>
    <xf numFmtId="40" fontId="28" fillId="10" borderId="0" xfId="0" applyNumberFormat="1" applyFont="1" applyFill="1" applyBorder="1" applyAlignment="1">
      <alignment horizontal="center"/>
    </xf>
    <xf numFmtId="4" fontId="25" fillId="10" borderId="0" xfId="0" applyNumberFormat="1" applyFont="1" applyFill="1" applyBorder="1" applyAlignment="1">
      <alignment horizontal="center"/>
    </xf>
    <xf numFmtId="0" fontId="28" fillId="10" borderId="9" xfId="0" applyFont="1" applyFill="1" applyBorder="1" applyAlignment="1">
      <alignment vertical="center"/>
    </xf>
    <xf numFmtId="0" fontId="28" fillId="10" borderId="0" xfId="0" applyNumberFormat="1" applyFont="1" applyFill="1" applyBorder="1" applyAlignment="1">
      <alignment horizontal="center"/>
    </xf>
    <xf numFmtId="40" fontId="25" fillId="10" borderId="0" xfId="0" applyNumberFormat="1" applyFont="1" applyFill="1" applyBorder="1" applyAlignment="1">
      <alignment horizontal="center"/>
    </xf>
    <xf numFmtId="40" fontId="25" fillId="10" borderId="4" xfId="0" applyNumberFormat="1" applyFont="1" applyFill="1" applyBorder="1" applyAlignment="1">
      <alignment horizontal="center"/>
    </xf>
    <xf numFmtId="0" fontId="30" fillId="10" borderId="19" xfId="0" applyFont="1" applyFill="1" applyBorder="1" applyAlignment="1">
      <alignment vertical="center"/>
    </xf>
    <xf numFmtId="0" fontId="30" fillId="10" borderId="4" xfId="0" applyFont="1" applyFill="1" applyBorder="1" applyAlignment="1">
      <alignment vertical="center"/>
    </xf>
    <xf numFmtId="0" fontId="28" fillId="10" borderId="4" xfId="0" applyFont="1" applyFill="1" applyBorder="1" applyAlignment="1">
      <alignment vertical="center"/>
    </xf>
    <xf numFmtId="0" fontId="30" fillId="10" borderId="5" xfId="0" applyFont="1" applyFill="1" applyBorder="1" applyAlignment="1">
      <alignment vertical="center"/>
    </xf>
    <xf numFmtId="0" fontId="30" fillId="10" borderId="6" xfId="0" applyFont="1" applyFill="1" applyBorder="1"/>
    <xf numFmtId="0" fontId="30" fillId="10" borderId="7" xfId="0" applyFont="1" applyFill="1" applyBorder="1"/>
    <xf numFmtId="0" fontId="30" fillId="10" borderId="6" xfId="0" applyFont="1" applyFill="1" applyBorder="1" applyAlignment="1">
      <alignment vertical="center"/>
    </xf>
    <xf numFmtId="0" fontId="30" fillId="10" borderId="0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vertical="center"/>
    </xf>
    <xf numFmtId="0" fontId="30" fillId="10" borderId="8" xfId="0" applyFont="1" applyFill="1" applyBorder="1" applyAlignment="1">
      <alignment vertical="center"/>
    </xf>
    <xf numFmtId="0" fontId="30" fillId="10" borderId="9" xfId="0" applyFont="1" applyFill="1" applyBorder="1" applyAlignment="1">
      <alignment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vertical="center"/>
    </xf>
    <xf numFmtId="0" fontId="30" fillId="3" borderId="63" xfId="0" applyFont="1" applyFill="1" applyBorder="1" applyAlignment="1">
      <alignment horizontal="center"/>
    </xf>
    <xf numFmtId="0" fontId="30" fillId="3" borderId="64" xfId="0" applyFont="1" applyFill="1" applyBorder="1" applyAlignment="1">
      <alignment horizontal="center"/>
    </xf>
    <xf numFmtId="0" fontId="30" fillId="11" borderId="65" xfId="0" applyFont="1" applyFill="1" applyBorder="1" applyAlignment="1">
      <alignment horizontal="center"/>
    </xf>
    <xf numFmtId="0" fontId="30" fillId="11" borderId="66" xfId="0" applyFont="1" applyFill="1" applyBorder="1" applyAlignment="1">
      <alignment horizontal="center"/>
    </xf>
    <xf numFmtId="0" fontId="30" fillId="3" borderId="65" xfId="0" applyFont="1" applyFill="1" applyBorder="1" applyAlignment="1">
      <alignment horizontal="center"/>
    </xf>
    <xf numFmtId="0" fontId="30" fillId="3" borderId="66" xfId="0" applyFont="1" applyFill="1" applyBorder="1" applyAlignment="1">
      <alignment horizontal="center"/>
    </xf>
    <xf numFmtId="0" fontId="30" fillId="11" borderId="67" xfId="0" applyFont="1" applyFill="1" applyBorder="1" applyAlignment="1">
      <alignment horizontal="center"/>
    </xf>
    <xf numFmtId="0" fontId="30" fillId="11" borderId="68" xfId="0" applyFont="1" applyFill="1" applyBorder="1" applyAlignment="1">
      <alignment horizontal="center"/>
    </xf>
    <xf numFmtId="0" fontId="30" fillId="11" borderId="66" xfId="0" quotePrefix="1" applyFont="1" applyFill="1" applyBorder="1" applyAlignment="1">
      <alignment horizontal="center"/>
    </xf>
    <xf numFmtId="0" fontId="30" fillId="11" borderId="65" xfId="0" quotePrefix="1" applyFont="1" applyFill="1" applyBorder="1" applyAlignment="1">
      <alignment horizontal="center"/>
    </xf>
    <xf numFmtId="0" fontId="30" fillId="3" borderId="69" xfId="0" applyFont="1" applyFill="1" applyBorder="1" applyAlignment="1">
      <alignment horizontal="center"/>
    </xf>
    <xf numFmtId="0" fontId="30" fillId="11" borderId="15" xfId="0" applyFont="1" applyFill="1" applyBorder="1" applyAlignment="1">
      <alignment horizontal="center"/>
    </xf>
    <xf numFmtId="0" fontId="30" fillId="3" borderId="15" xfId="0" applyFont="1" applyFill="1" applyBorder="1" applyAlignment="1">
      <alignment horizontal="center"/>
    </xf>
    <xf numFmtId="0" fontId="30" fillId="11" borderId="70" xfId="0" applyFont="1" applyFill="1" applyBorder="1" applyAlignment="1">
      <alignment horizontal="center"/>
    </xf>
    <xf numFmtId="1" fontId="30" fillId="8" borderId="42" xfId="0" applyNumberFormat="1" applyFont="1" applyFill="1" applyBorder="1" applyAlignment="1">
      <alignment horizontal="center" vertical="center"/>
    </xf>
    <xf numFmtId="1" fontId="30" fillId="8" borderId="43" xfId="0" applyNumberFormat="1" applyFont="1" applyFill="1" applyBorder="1" applyAlignment="1">
      <alignment horizontal="center" vertical="center"/>
    </xf>
    <xf numFmtId="1" fontId="30" fillId="8" borderId="62" xfId="0" applyNumberFormat="1" applyFont="1" applyFill="1" applyBorder="1" applyAlignment="1">
      <alignment horizontal="center" vertical="center"/>
    </xf>
    <xf numFmtId="0" fontId="28" fillId="11" borderId="42" xfId="0" applyFont="1" applyFill="1" applyBorder="1" applyAlignment="1">
      <alignment horizontal="center" vertical="center"/>
    </xf>
    <xf numFmtId="0" fontId="28" fillId="11" borderId="43" xfId="0" applyFont="1" applyFill="1" applyBorder="1" applyAlignment="1">
      <alignment horizontal="center" vertical="center"/>
    </xf>
    <xf numFmtId="164" fontId="28" fillId="11" borderId="3" xfId="0" applyNumberFormat="1" applyFont="1" applyFill="1" applyBorder="1" applyAlignment="1">
      <alignment horizontal="center" vertical="center"/>
    </xf>
    <xf numFmtId="4" fontId="26" fillId="0" borderId="42" xfId="0" applyNumberFormat="1" applyFont="1" applyFill="1" applyBorder="1" applyAlignment="1">
      <alignment horizontal="center"/>
    </xf>
    <xf numFmtId="4" fontId="26" fillId="0" borderId="43" xfId="0" applyNumberFormat="1" applyFont="1" applyFill="1" applyBorder="1" applyAlignment="1">
      <alignment horizontal="center"/>
    </xf>
    <xf numFmtId="4" fontId="26" fillId="0" borderId="62" xfId="0" applyNumberFormat="1" applyFont="1" applyFill="1" applyBorder="1" applyAlignment="1">
      <alignment horizontal="center"/>
    </xf>
    <xf numFmtId="0" fontId="27" fillId="8" borderId="0" xfId="0" applyFont="1" applyFill="1" applyAlignment="1">
      <alignment horizontal="center" vertical="center" wrapText="1"/>
    </xf>
    <xf numFmtId="40" fontId="30" fillId="3" borderId="8" xfId="0" applyNumberFormat="1" applyFont="1" applyFill="1" applyBorder="1" applyAlignment="1">
      <alignment horizontal="center" vertical="center"/>
    </xf>
    <xf numFmtId="40" fontId="30" fillId="11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0" borderId="0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7" borderId="1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28" fillId="0" borderId="38" xfId="0" applyFont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71" xfId="0" applyFont="1" applyBorder="1" applyAlignment="1">
      <alignment horizontal="center" vertical="center"/>
    </xf>
    <xf numFmtId="0" fontId="1" fillId="12" borderId="1" xfId="0" applyFont="1" applyFill="1" applyBorder="1" applyAlignment="1">
      <alignment vertical="center"/>
    </xf>
    <xf numFmtId="0" fontId="29" fillId="8" borderId="6" xfId="0" applyFont="1" applyFill="1" applyBorder="1" applyAlignment="1">
      <alignment horizontal="center" vertical="center"/>
    </xf>
    <xf numFmtId="166" fontId="25" fillId="3" borderId="1" xfId="0" applyNumberFormat="1" applyFont="1" applyFill="1" applyBorder="1" applyAlignment="1">
      <alignment horizontal="center" vertical="center"/>
    </xf>
    <xf numFmtId="166" fontId="25" fillId="11" borderId="1" xfId="0" applyNumberFormat="1" applyFont="1" applyFill="1" applyBorder="1" applyAlignment="1">
      <alignment horizontal="center" vertical="center"/>
    </xf>
    <xf numFmtId="166" fontId="26" fillId="3" borderId="1" xfId="0" applyNumberFormat="1" applyFont="1" applyFill="1" applyBorder="1" applyAlignment="1">
      <alignment horizontal="center" vertical="center"/>
    </xf>
    <xf numFmtId="166" fontId="26" fillId="11" borderId="12" xfId="0" applyNumberFormat="1" applyFont="1" applyFill="1" applyBorder="1" applyAlignment="1">
      <alignment horizontal="center" vertical="center"/>
    </xf>
    <xf numFmtId="166" fontId="25" fillId="11" borderId="2" xfId="0" applyNumberFormat="1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40" fontId="3" fillId="10" borderId="20" xfId="0" applyNumberFormat="1" applyFont="1" applyFill="1" applyBorder="1" applyAlignment="1">
      <alignment horizontal="center" vertical="center"/>
    </xf>
    <xf numFmtId="40" fontId="3" fillId="10" borderId="13" xfId="0" applyNumberFormat="1" applyFont="1" applyFill="1" applyBorder="1" applyAlignment="1">
      <alignment horizontal="center" vertical="center"/>
    </xf>
    <xf numFmtId="40" fontId="0" fillId="0" borderId="0" xfId="0" applyNumberFormat="1"/>
    <xf numFmtId="166" fontId="3" fillId="0" borderId="0" xfId="0" applyNumberFormat="1" applyFont="1"/>
    <xf numFmtId="164" fontId="28" fillId="8" borderId="0" xfId="0" applyNumberFormat="1" applyFont="1" applyFill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49" fontId="1" fillId="0" borderId="13" xfId="0" applyNumberFormat="1" applyFont="1" applyBorder="1" applyAlignment="1">
      <alignment horizontal="center" vertical="center"/>
    </xf>
    <xf numFmtId="0" fontId="29" fillId="8" borderId="9" xfId="0" applyFont="1" applyFill="1" applyBorder="1" applyAlignment="1">
      <alignment vertical="center"/>
    </xf>
    <xf numFmtId="4" fontId="28" fillId="13" borderId="40" xfId="0" applyNumberFormat="1" applyFont="1" applyFill="1" applyBorder="1" applyAlignment="1">
      <alignment vertical="center" wrapText="1"/>
    </xf>
    <xf numFmtId="43" fontId="28" fillId="11" borderId="73" xfId="1" applyFont="1" applyFill="1" applyBorder="1" applyAlignment="1">
      <alignment vertical="center" wrapText="1"/>
    </xf>
    <xf numFmtId="0" fontId="28" fillId="13" borderId="21" xfId="0" applyFont="1" applyFill="1" applyBorder="1" applyAlignment="1">
      <alignment vertical="center" wrapText="1"/>
    </xf>
    <xf numFmtId="43" fontId="28" fillId="11" borderId="74" xfId="1" applyFont="1" applyFill="1" applyBorder="1" applyAlignment="1">
      <alignment vertical="center" wrapText="1"/>
    </xf>
    <xf numFmtId="0" fontId="28" fillId="13" borderId="34" xfId="0" applyFont="1" applyFill="1" applyBorder="1" applyAlignment="1">
      <alignment vertical="center" wrapText="1"/>
    </xf>
    <xf numFmtId="0" fontId="28" fillId="13" borderId="75" xfId="0" applyFont="1" applyFill="1" applyBorder="1" applyAlignment="1">
      <alignment vertical="center" wrapText="1"/>
    </xf>
    <xf numFmtId="43" fontId="28" fillId="13" borderId="76" xfId="0" applyNumberFormat="1" applyFont="1" applyFill="1" applyBorder="1" applyAlignment="1">
      <alignment vertical="center" wrapText="1"/>
    </xf>
    <xf numFmtId="0" fontId="28" fillId="13" borderId="81" xfId="0" applyFont="1" applyFill="1" applyBorder="1" applyAlignment="1">
      <alignment vertical="center" wrapText="1"/>
    </xf>
    <xf numFmtId="0" fontId="0" fillId="5" borderId="40" xfId="0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28" fillId="11" borderId="82" xfId="0" applyFont="1" applyFill="1" applyBorder="1" applyAlignment="1">
      <alignment vertical="center" wrapText="1"/>
    </xf>
    <xf numFmtId="0" fontId="28" fillId="11" borderId="83" xfId="0" applyFont="1" applyFill="1" applyBorder="1" applyAlignment="1">
      <alignment vertical="center" wrapText="1"/>
    </xf>
    <xf numFmtId="0" fontId="28" fillId="11" borderId="84" xfId="0" applyFont="1" applyFill="1" applyBorder="1" applyAlignment="1">
      <alignment vertical="center" wrapText="1"/>
    </xf>
    <xf numFmtId="49" fontId="1" fillId="10" borderId="13" xfId="0" applyNumberFormat="1" applyFont="1" applyFill="1" applyBorder="1" applyAlignment="1">
      <alignment horizontal="center" vertical="center"/>
    </xf>
    <xf numFmtId="0" fontId="30" fillId="8" borderId="0" xfId="0" applyFont="1" applyFill="1" applyAlignment="1">
      <alignment horizontal="left" vertical="center"/>
    </xf>
    <xf numFmtId="0" fontId="1" fillId="0" borderId="1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" fontId="1" fillId="0" borderId="5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9" xfId="0" applyFont="1" applyBorder="1" applyAlignment="1">
      <alignment horizontal="left"/>
    </xf>
    <xf numFmtId="0" fontId="1" fillId="0" borderId="0" xfId="0" applyFont="1"/>
    <xf numFmtId="0" fontId="38" fillId="0" borderId="0" xfId="0" applyFont="1" applyAlignment="1">
      <alignment horizontal="center"/>
    </xf>
    <xf numFmtId="0" fontId="0" fillId="0" borderId="19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" fontId="1" fillId="0" borderId="0" xfId="0" applyNumberFormat="1" applyFont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43" fontId="28" fillId="11" borderId="74" xfId="1" applyFont="1" applyFill="1" applyBorder="1" applyAlignment="1">
      <alignment horizontal="center" vertical="center" wrapText="1"/>
    </xf>
    <xf numFmtId="0" fontId="28" fillId="4" borderId="0" xfId="0" applyFont="1" applyFill="1" applyBorder="1"/>
    <xf numFmtId="1" fontId="28" fillId="3" borderId="42" xfId="0" applyNumberFormat="1" applyFont="1" applyFill="1" applyBorder="1" applyAlignment="1">
      <alignment horizontal="center" vertical="center"/>
    </xf>
    <xf numFmtId="1" fontId="28" fillId="11" borderId="43" xfId="0" applyNumberFormat="1" applyFont="1" applyFill="1" applyBorder="1" applyAlignment="1">
      <alignment horizontal="center" vertical="center"/>
    </xf>
    <xf numFmtId="1" fontId="28" fillId="11" borderId="62" xfId="0" applyNumberFormat="1" applyFont="1" applyFill="1" applyBorder="1" applyAlignment="1">
      <alignment horizontal="center" vertical="center"/>
    </xf>
    <xf numFmtId="1" fontId="28" fillId="3" borderId="43" xfId="0" applyNumberFormat="1" applyFont="1" applyFill="1" applyBorder="1" applyAlignment="1">
      <alignment horizontal="center" vertical="center"/>
    </xf>
    <xf numFmtId="1" fontId="28" fillId="11" borderId="42" xfId="0" applyNumberFormat="1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40" fontId="30" fillId="11" borderId="2" xfId="0" applyNumberFormat="1" applyFont="1" applyFill="1" applyBorder="1" applyAlignment="1">
      <alignment horizontal="center" vertical="center"/>
    </xf>
    <xf numFmtId="166" fontId="25" fillId="14" borderId="2" xfId="0" applyNumberFormat="1" applyFont="1" applyFill="1" applyBorder="1" applyAlignment="1">
      <alignment horizontal="center" vertical="center"/>
    </xf>
    <xf numFmtId="166" fontId="25" fillId="14" borderId="1" xfId="0" applyNumberFormat="1" applyFont="1" applyFill="1" applyBorder="1" applyAlignment="1">
      <alignment horizontal="center" vertical="center"/>
    </xf>
    <xf numFmtId="166" fontId="26" fillId="14" borderId="1" xfId="0" applyNumberFormat="1" applyFont="1" applyFill="1" applyBorder="1" applyAlignment="1">
      <alignment horizontal="center" vertical="center"/>
    </xf>
    <xf numFmtId="166" fontId="26" fillId="14" borderId="12" xfId="0" applyNumberFormat="1" applyFont="1" applyFill="1" applyBorder="1" applyAlignment="1">
      <alignment horizontal="center" vertical="center"/>
    </xf>
    <xf numFmtId="166" fontId="25" fillId="15" borderId="1" xfId="0" applyNumberFormat="1" applyFont="1" applyFill="1" applyBorder="1" applyAlignment="1">
      <alignment horizontal="center" vertical="center"/>
    </xf>
    <xf numFmtId="166" fontId="26" fillId="15" borderId="1" xfId="0" applyNumberFormat="1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 wrapText="1"/>
    </xf>
    <xf numFmtId="0" fontId="28" fillId="11" borderId="46" xfId="0" applyFont="1" applyFill="1" applyBorder="1" applyAlignment="1">
      <alignment horizontal="center" vertical="center"/>
    </xf>
    <xf numFmtId="0" fontId="28" fillId="11" borderId="72" xfId="0" applyFont="1" applyFill="1" applyBorder="1" applyAlignment="1">
      <alignment horizontal="center" vertical="center" wrapText="1"/>
    </xf>
    <xf numFmtId="166" fontId="30" fillId="8" borderId="0" xfId="0" applyNumberFormat="1" applyFont="1" applyFill="1" applyAlignment="1">
      <alignment horizontal="center" vertical="center"/>
    </xf>
    <xf numFmtId="166" fontId="39" fillId="11" borderId="40" xfId="0" applyNumberFormat="1" applyFont="1" applyFill="1" applyBorder="1" applyAlignment="1">
      <alignment horizontal="center" vertical="center"/>
    </xf>
    <xf numFmtId="166" fontId="39" fillId="11" borderId="33" xfId="0" applyNumberFormat="1" applyFont="1" applyFill="1" applyBorder="1" applyAlignment="1">
      <alignment horizontal="center" vertical="center"/>
    </xf>
    <xf numFmtId="166" fontId="39" fillId="11" borderId="21" xfId="0" applyNumberFormat="1" applyFont="1" applyFill="1" applyBorder="1" applyAlignment="1">
      <alignment horizontal="center" vertical="center"/>
    </xf>
    <xf numFmtId="166" fontId="39" fillId="11" borderId="22" xfId="0" applyNumberFormat="1" applyFont="1" applyFill="1" applyBorder="1" applyAlignment="1">
      <alignment horizontal="center" vertical="center"/>
    </xf>
    <xf numFmtId="166" fontId="39" fillId="11" borderId="34" xfId="0" applyNumberFormat="1" applyFont="1" applyFill="1" applyBorder="1" applyAlignment="1">
      <alignment horizontal="center" vertical="center"/>
    </xf>
    <xf numFmtId="166" fontId="39" fillId="11" borderId="36" xfId="0" applyNumberFormat="1" applyFont="1" applyFill="1" applyBorder="1" applyAlignment="1">
      <alignment horizontal="center" vertical="center"/>
    </xf>
    <xf numFmtId="49" fontId="29" fillId="0" borderId="41" xfId="0" applyNumberFormat="1" applyFont="1" applyBorder="1" applyAlignment="1">
      <alignment horizontal="center" vertical="center" wrapText="1"/>
    </xf>
    <xf numFmtId="49" fontId="29" fillId="0" borderId="23" xfId="0" applyNumberFormat="1" applyFont="1" applyBorder="1" applyAlignment="1">
      <alignment horizontal="center" vertical="center" wrapText="1"/>
    </xf>
    <xf numFmtId="49" fontId="28" fillId="0" borderId="19" xfId="0" applyNumberFormat="1" applyFont="1" applyBorder="1" applyAlignment="1">
      <alignment horizontal="center" vertical="center" wrapText="1"/>
    </xf>
    <xf numFmtId="49" fontId="28" fillId="0" borderId="5" xfId="0" applyNumberFormat="1" applyFont="1" applyBorder="1" applyAlignment="1">
      <alignment horizontal="center" vertical="center" wrapText="1"/>
    </xf>
    <xf numFmtId="49" fontId="28" fillId="0" borderId="8" xfId="0" applyNumberFormat="1" applyFont="1" applyBorder="1" applyAlignment="1">
      <alignment horizontal="center" vertical="center" wrapText="1"/>
    </xf>
    <xf numFmtId="49" fontId="28" fillId="0" borderId="10" xfId="0" applyNumberFormat="1" applyFont="1" applyBorder="1" applyAlignment="1">
      <alignment horizontal="center" vertical="center" wrapText="1"/>
    </xf>
    <xf numFmtId="0" fontId="25" fillId="14" borderId="6" xfId="0" applyFont="1" applyFill="1" applyBorder="1" applyAlignment="1">
      <alignment horizontal="center" vertical="center"/>
    </xf>
    <xf numFmtId="0" fontId="25" fillId="14" borderId="0" xfId="0" applyFont="1" applyFill="1" applyBorder="1" applyAlignment="1">
      <alignment horizontal="center" vertical="center"/>
    </xf>
    <xf numFmtId="0" fontId="25" fillId="14" borderId="7" xfId="0" applyFont="1" applyFill="1" applyBorder="1" applyAlignment="1">
      <alignment horizontal="center" vertical="center"/>
    </xf>
    <xf numFmtId="0" fontId="25" fillId="15" borderId="6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25" fillId="15" borderId="7" xfId="0" applyFont="1" applyFill="1" applyBorder="1" applyAlignment="1">
      <alignment horizontal="center" vertical="center"/>
    </xf>
    <xf numFmtId="0" fontId="25" fillId="14" borderId="8" xfId="0" applyFont="1" applyFill="1" applyBorder="1" applyAlignment="1">
      <alignment horizontal="center" vertical="center"/>
    </xf>
    <xf numFmtId="0" fontId="25" fillId="14" borderId="9" xfId="0" applyFont="1" applyFill="1" applyBorder="1" applyAlignment="1">
      <alignment horizontal="center" vertical="center"/>
    </xf>
    <xf numFmtId="0" fontId="25" fillId="14" borderId="10" xfId="0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25" fillId="3" borderId="7" xfId="0" applyFont="1" applyFill="1" applyBorder="1" applyAlignment="1">
      <alignment horizontal="center" vertical="center"/>
    </xf>
    <xf numFmtId="0" fontId="25" fillId="11" borderId="6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7" xfId="0" applyFont="1" applyFill="1" applyBorder="1" applyAlignment="1">
      <alignment horizontal="center" vertical="center"/>
    </xf>
    <xf numFmtId="164" fontId="28" fillId="0" borderId="41" xfId="0" applyNumberFormat="1" applyFont="1" applyBorder="1" applyAlignment="1">
      <alignment horizontal="center" vertical="center" wrapText="1"/>
    </xf>
    <xf numFmtId="164" fontId="28" fillId="0" borderId="23" xfId="0" applyNumberFormat="1" applyFont="1" applyBorder="1" applyAlignment="1">
      <alignment horizontal="center" vertical="center" wrapText="1"/>
    </xf>
    <xf numFmtId="164" fontId="28" fillId="8" borderId="0" xfId="0" applyNumberFormat="1" applyFont="1" applyFill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9" fillId="8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40" fontId="28" fillId="0" borderId="19" xfId="0" applyNumberFormat="1" applyFont="1" applyBorder="1" applyAlignment="1">
      <alignment horizontal="center" vertical="center" wrapText="1"/>
    </xf>
    <xf numFmtId="40" fontId="28" fillId="0" borderId="5" xfId="0" applyNumberFormat="1" applyFont="1" applyBorder="1" applyAlignment="1">
      <alignment horizontal="center" vertical="center" wrapText="1"/>
    </xf>
    <xf numFmtId="40" fontId="28" fillId="0" borderId="8" xfId="0" applyNumberFormat="1" applyFont="1" applyBorder="1" applyAlignment="1">
      <alignment horizontal="center" vertical="center" wrapText="1"/>
    </xf>
    <xf numFmtId="40" fontId="28" fillId="0" borderId="10" xfId="0" applyNumberFormat="1" applyFont="1" applyBorder="1" applyAlignment="1">
      <alignment horizontal="center" vertical="center" wrapText="1"/>
    </xf>
    <xf numFmtId="40" fontId="25" fillId="3" borderId="2" xfId="0" applyNumberFormat="1" applyFont="1" applyFill="1" applyBorder="1" applyAlignment="1">
      <alignment horizontal="center" vertical="center" wrapText="1"/>
    </xf>
    <xf numFmtId="40" fontId="25" fillId="3" borderId="12" xfId="0" applyNumberFormat="1" applyFont="1" applyFill="1" applyBorder="1" applyAlignment="1">
      <alignment horizontal="center" vertical="center" wrapText="1"/>
    </xf>
    <xf numFmtId="40" fontId="32" fillId="8" borderId="0" xfId="0" applyNumberFormat="1" applyFont="1" applyFill="1" applyBorder="1" applyAlignment="1">
      <alignment horizontal="center" vertical="center" wrapText="1"/>
    </xf>
    <xf numFmtId="40" fontId="25" fillId="11" borderId="2" xfId="0" applyNumberFormat="1" applyFont="1" applyFill="1" applyBorder="1" applyAlignment="1">
      <alignment horizontal="center" vertical="center" wrapText="1"/>
    </xf>
    <xf numFmtId="40" fontId="25" fillId="11" borderId="12" xfId="0" applyNumberFormat="1" applyFont="1" applyFill="1" applyBorder="1" applyAlignment="1">
      <alignment horizontal="center" vertical="center" wrapText="1"/>
    </xf>
    <xf numFmtId="164" fontId="29" fillId="0" borderId="41" xfId="0" applyNumberFormat="1" applyFont="1" applyBorder="1" applyAlignment="1">
      <alignment horizontal="center" vertical="center" wrapText="1"/>
    </xf>
    <xf numFmtId="164" fontId="29" fillId="0" borderId="23" xfId="0" applyNumberFormat="1" applyFont="1" applyBorder="1" applyAlignment="1">
      <alignment horizontal="center" vertical="center" wrapText="1"/>
    </xf>
    <xf numFmtId="0" fontId="27" fillId="8" borderId="7" xfId="0" applyFont="1" applyFill="1" applyBorder="1" applyAlignment="1">
      <alignment horizontal="center" vertical="center" wrapText="1"/>
    </xf>
    <xf numFmtId="165" fontId="28" fillId="0" borderId="19" xfId="0" applyNumberFormat="1" applyFont="1" applyBorder="1" applyAlignment="1">
      <alignment horizontal="center" vertical="center" wrapText="1"/>
    </xf>
    <xf numFmtId="165" fontId="28" fillId="0" borderId="5" xfId="0" applyNumberFormat="1" applyFont="1" applyBorder="1" applyAlignment="1">
      <alignment horizontal="center" vertical="center" wrapText="1"/>
    </xf>
    <xf numFmtId="165" fontId="28" fillId="0" borderId="8" xfId="0" applyNumberFormat="1" applyFont="1" applyBorder="1" applyAlignment="1">
      <alignment horizontal="center" vertical="center" wrapText="1"/>
    </xf>
    <xf numFmtId="165" fontId="28" fillId="0" borderId="10" xfId="0" applyNumberFormat="1" applyFont="1" applyBorder="1" applyAlignment="1">
      <alignment horizontal="center" vertical="center" wrapText="1"/>
    </xf>
    <xf numFmtId="40" fontId="28" fillId="2" borderId="2" xfId="0" applyNumberFormat="1" applyFont="1" applyFill="1" applyBorder="1" applyAlignment="1">
      <alignment horizontal="center" vertical="center" wrapText="1"/>
    </xf>
    <xf numFmtId="0" fontId="28" fillId="2" borderId="12" xfId="0" applyFont="1" applyFill="1" applyBorder="1" applyAlignment="1">
      <alignment horizontal="center" vertical="center" wrapText="1"/>
    </xf>
    <xf numFmtId="0" fontId="33" fillId="0" borderId="4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29" fillId="0" borderId="41" xfId="0" applyFont="1" applyFill="1" applyBorder="1" applyAlignment="1">
      <alignment horizontal="center" vertical="center" wrapText="1"/>
    </xf>
    <xf numFmtId="0" fontId="29" fillId="0" borderId="11" xfId="0" applyFont="1" applyFill="1" applyBorder="1" applyAlignment="1">
      <alignment horizontal="center" vertical="center" wrapText="1"/>
    </xf>
    <xf numFmtId="0" fontId="30" fillId="7" borderId="41" xfId="0" applyFont="1" applyFill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29" fillId="0" borderId="19" xfId="0" applyFont="1" applyFill="1" applyBorder="1" applyAlignment="1">
      <alignment horizontal="center" vertical="center"/>
    </xf>
    <xf numFmtId="0" fontId="29" fillId="0" borderId="5" xfId="0" applyFont="1" applyFill="1" applyBorder="1" applyAlignment="1">
      <alignment horizontal="center" vertical="center"/>
    </xf>
    <xf numFmtId="0" fontId="29" fillId="0" borderId="8" xfId="0" applyFont="1" applyFill="1" applyBorder="1" applyAlignment="1">
      <alignment horizontal="center" vertical="center"/>
    </xf>
    <xf numFmtId="0" fontId="29" fillId="0" borderId="10" xfId="0" applyFont="1" applyFill="1" applyBorder="1" applyAlignment="1">
      <alignment horizontal="center" vertical="center"/>
    </xf>
    <xf numFmtId="166" fontId="28" fillId="0" borderId="19" xfId="0" applyNumberFormat="1" applyFont="1" applyFill="1" applyBorder="1" applyAlignment="1">
      <alignment horizontal="center" vertical="center"/>
    </xf>
    <xf numFmtId="166" fontId="28" fillId="0" borderId="5" xfId="0" applyNumberFormat="1" applyFont="1" applyFill="1" applyBorder="1" applyAlignment="1">
      <alignment horizontal="center" vertical="center"/>
    </xf>
    <xf numFmtId="166" fontId="28" fillId="0" borderId="8" xfId="0" applyNumberFormat="1" applyFont="1" applyFill="1" applyBorder="1" applyAlignment="1">
      <alignment horizontal="center" vertical="center"/>
    </xf>
    <xf numFmtId="166" fontId="28" fillId="0" borderId="10" xfId="0" applyNumberFormat="1" applyFont="1" applyFill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25" fillId="14" borderId="4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164" fontId="29" fillId="3" borderId="41" xfId="0" applyNumberFormat="1" applyFont="1" applyFill="1" applyBorder="1" applyAlignment="1">
      <alignment horizontal="center" vertical="center" wrapText="1"/>
    </xf>
    <xf numFmtId="164" fontId="29" fillId="3" borderId="11" xfId="0" applyNumberFormat="1" applyFont="1" applyFill="1" applyBorder="1" applyAlignment="1">
      <alignment horizontal="center" vertical="center" wrapText="1"/>
    </xf>
    <xf numFmtId="0" fontId="25" fillId="11" borderId="19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5" xfId="0" applyFont="1" applyFill="1" applyBorder="1" applyAlignment="1">
      <alignment horizontal="center" vertical="center"/>
    </xf>
    <xf numFmtId="40" fontId="28" fillId="0" borderId="19" xfId="0" applyNumberFormat="1" applyFont="1" applyFill="1" applyBorder="1" applyAlignment="1">
      <alignment horizontal="center" vertical="center"/>
    </xf>
    <xf numFmtId="40" fontId="28" fillId="0" borderId="5" xfId="0" applyNumberFormat="1" applyFont="1" applyFill="1" applyBorder="1" applyAlignment="1">
      <alignment horizontal="center" vertical="center"/>
    </xf>
    <xf numFmtId="40" fontId="28" fillId="0" borderId="8" xfId="0" applyNumberFormat="1" applyFont="1" applyFill="1" applyBorder="1" applyAlignment="1">
      <alignment horizontal="center" vertical="center"/>
    </xf>
    <xf numFmtId="40" fontId="28" fillId="0" borderId="10" xfId="0" applyNumberFormat="1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9" fillId="5" borderId="19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166" fontId="28" fillId="5" borderId="19" xfId="0" applyNumberFormat="1" applyFont="1" applyFill="1" applyBorder="1" applyAlignment="1">
      <alignment horizontal="center" vertical="center"/>
    </xf>
    <xf numFmtId="166" fontId="28" fillId="5" borderId="5" xfId="0" applyNumberFormat="1" applyFont="1" applyFill="1" applyBorder="1" applyAlignment="1">
      <alignment horizontal="center" vertical="center"/>
    </xf>
    <xf numFmtId="166" fontId="28" fillId="5" borderId="8" xfId="0" applyNumberFormat="1" applyFont="1" applyFill="1" applyBorder="1" applyAlignment="1">
      <alignment horizontal="center" vertical="center"/>
    </xf>
    <xf numFmtId="166" fontId="28" fillId="5" borderId="10" xfId="0" applyNumberFormat="1" applyFont="1" applyFill="1" applyBorder="1" applyAlignment="1">
      <alignment horizontal="center" vertical="center"/>
    </xf>
    <xf numFmtId="166" fontId="28" fillId="11" borderId="19" xfId="0" applyNumberFormat="1" applyFont="1" applyFill="1" applyBorder="1" applyAlignment="1">
      <alignment horizontal="center" vertical="center"/>
    </xf>
    <xf numFmtId="166" fontId="28" fillId="11" borderId="5" xfId="0" applyNumberFormat="1" applyFont="1" applyFill="1" applyBorder="1" applyAlignment="1">
      <alignment horizontal="center" vertical="center"/>
    </xf>
    <xf numFmtId="166" fontId="28" fillId="11" borderId="8" xfId="0" applyNumberFormat="1" applyFont="1" applyFill="1" applyBorder="1" applyAlignment="1">
      <alignment horizontal="center" vertical="center"/>
    </xf>
    <xf numFmtId="166" fontId="28" fillId="11" borderId="10" xfId="0" applyNumberFormat="1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40" fontId="28" fillId="0" borderId="41" xfId="0" applyNumberFormat="1" applyFont="1" applyFill="1" applyBorder="1" applyAlignment="1">
      <alignment horizontal="center"/>
    </xf>
    <xf numFmtId="40" fontId="28" fillId="0" borderId="11" xfId="0" applyNumberFormat="1" applyFont="1" applyFill="1" applyBorder="1" applyAlignment="1">
      <alignment horizontal="center"/>
    </xf>
    <xf numFmtId="40" fontId="28" fillId="0" borderId="23" xfId="0" applyNumberFormat="1" applyFont="1" applyFill="1" applyBorder="1" applyAlignment="1">
      <alignment horizontal="center"/>
    </xf>
    <xf numFmtId="4" fontId="34" fillId="3" borderId="19" xfId="0" applyNumberFormat="1" applyFont="1" applyFill="1" applyBorder="1" applyAlignment="1">
      <alignment horizontal="center" vertical="center" wrapText="1"/>
    </xf>
    <xf numFmtId="4" fontId="34" fillId="3" borderId="4" xfId="0" applyNumberFormat="1" applyFont="1" applyFill="1" applyBorder="1" applyAlignment="1">
      <alignment horizontal="center" vertical="center" wrapText="1"/>
    </xf>
    <xf numFmtId="4" fontId="34" fillId="3" borderId="5" xfId="0" applyNumberFormat="1" applyFont="1" applyFill="1" applyBorder="1" applyAlignment="1">
      <alignment horizontal="center" vertical="center" wrapText="1"/>
    </xf>
    <xf numFmtId="4" fontId="34" fillId="3" borderId="6" xfId="0" applyNumberFormat="1" applyFont="1" applyFill="1" applyBorder="1" applyAlignment="1">
      <alignment horizontal="center" vertical="center" wrapText="1"/>
    </xf>
    <xf numFmtId="4" fontId="34" fillId="3" borderId="0" xfId="0" applyNumberFormat="1" applyFont="1" applyFill="1" applyBorder="1" applyAlignment="1">
      <alignment horizontal="center" vertical="center" wrapText="1"/>
    </xf>
    <xf numFmtId="4" fontId="34" fillId="3" borderId="7" xfId="0" applyNumberFormat="1" applyFont="1" applyFill="1" applyBorder="1" applyAlignment="1">
      <alignment horizontal="center" vertical="center" wrapText="1"/>
    </xf>
    <xf numFmtId="4" fontId="34" fillId="3" borderId="8" xfId="0" applyNumberFormat="1" applyFont="1" applyFill="1" applyBorder="1" applyAlignment="1">
      <alignment horizontal="center" vertical="center" wrapText="1"/>
    </xf>
    <xf numFmtId="4" fontId="34" fillId="3" borderId="9" xfId="0" applyNumberFormat="1" applyFont="1" applyFill="1" applyBorder="1" applyAlignment="1">
      <alignment horizontal="center" vertical="center" wrapText="1"/>
    </xf>
    <xf numFmtId="4" fontId="34" fillId="3" borderId="10" xfId="0" applyNumberFormat="1" applyFont="1" applyFill="1" applyBorder="1" applyAlignment="1">
      <alignment horizontal="center" vertical="center" wrapText="1"/>
    </xf>
    <xf numFmtId="0" fontId="29" fillId="7" borderId="0" xfId="0" applyFont="1" applyFill="1" applyBorder="1" applyAlignment="1">
      <alignment horizontal="center" vertical="center"/>
    </xf>
    <xf numFmtId="4" fontId="26" fillId="0" borderId="41" xfId="0" applyNumberFormat="1" applyFont="1" applyFill="1" applyBorder="1" applyAlignment="1">
      <alignment horizontal="center"/>
    </xf>
    <xf numFmtId="4" fontId="26" fillId="0" borderId="23" xfId="0" applyNumberFormat="1" applyFont="1" applyFill="1" applyBorder="1" applyAlignment="1">
      <alignment horizontal="center"/>
    </xf>
    <xf numFmtId="40" fontId="25" fillId="0" borderId="41" xfId="0" applyNumberFormat="1" applyFont="1" applyFill="1" applyBorder="1" applyAlignment="1">
      <alignment horizontal="center"/>
    </xf>
    <xf numFmtId="40" fontId="25" fillId="0" borderId="23" xfId="0" applyNumberFormat="1" applyFont="1" applyFill="1" applyBorder="1" applyAlignment="1">
      <alignment horizontal="center"/>
    </xf>
    <xf numFmtId="4" fontId="26" fillId="0" borderId="41" xfId="0" applyNumberFormat="1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4" fontId="28" fillId="0" borderId="41" xfId="0" applyNumberFormat="1" applyFont="1" applyBorder="1" applyAlignment="1">
      <alignment horizontal="center"/>
    </xf>
    <xf numFmtId="4" fontId="28" fillId="0" borderId="23" xfId="0" applyNumberFormat="1" applyFont="1" applyBorder="1" applyAlignment="1">
      <alignment horizontal="center"/>
    </xf>
    <xf numFmtId="0" fontId="28" fillId="0" borderId="41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9" fillId="10" borderId="4" xfId="0" applyFont="1" applyFill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/>
    </xf>
    <xf numFmtId="2" fontId="26" fillId="0" borderId="41" xfId="0" applyNumberFormat="1" applyFont="1" applyBorder="1" applyAlignment="1">
      <alignment horizontal="center" vertical="center"/>
    </xf>
    <xf numFmtId="2" fontId="26" fillId="0" borderId="11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4" fontId="26" fillId="0" borderId="11" xfId="0" applyNumberFormat="1" applyFont="1" applyFill="1" applyBorder="1" applyAlignment="1">
      <alignment horizontal="center"/>
    </xf>
    <xf numFmtId="40" fontId="25" fillId="0" borderId="11" xfId="0" applyNumberFormat="1" applyFont="1" applyFill="1" applyBorder="1" applyAlignment="1">
      <alignment horizontal="center"/>
    </xf>
    <xf numFmtId="40" fontId="29" fillId="6" borderId="19" xfId="0" applyNumberFormat="1" applyFont="1" applyFill="1" applyBorder="1" applyAlignment="1">
      <alignment horizontal="center" vertical="center" wrapText="1"/>
    </xf>
    <xf numFmtId="40" fontId="29" fillId="6" borderId="4" xfId="0" applyNumberFormat="1" applyFont="1" applyFill="1" applyBorder="1" applyAlignment="1">
      <alignment horizontal="center" vertical="center" wrapText="1"/>
    </xf>
    <xf numFmtId="40" fontId="29" fillId="6" borderId="5" xfId="0" applyNumberFormat="1" applyFont="1" applyFill="1" applyBorder="1" applyAlignment="1">
      <alignment horizontal="center" vertical="center" wrapText="1"/>
    </xf>
    <xf numFmtId="40" fontId="29" fillId="6" borderId="8" xfId="0" applyNumberFormat="1" applyFont="1" applyFill="1" applyBorder="1" applyAlignment="1">
      <alignment horizontal="center" vertical="center" wrapText="1"/>
    </xf>
    <xf numFmtId="40" fontId="29" fillId="6" borderId="9" xfId="0" applyNumberFormat="1" applyFont="1" applyFill="1" applyBorder="1" applyAlignment="1">
      <alignment horizontal="center" vertical="center" wrapText="1"/>
    </xf>
    <xf numFmtId="40" fontId="29" fillId="6" borderId="10" xfId="0" applyNumberFormat="1" applyFont="1" applyFill="1" applyBorder="1" applyAlignment="1">
      <alignment horizontal="center" vertical="center" wrapText="1"/>
    </xf>
    <xf numFmtId="40" fontId="28" fillId="8" borderId="41" xfId="0" applyNumberFormat="1" applyFont="1" applyFill="1" applyBorder="1" applyAlignment="1">
      <alignment horizontal="center" vertical="center"/>
    </xf>
    <xf numFmtId="40" fontId="28" fillId="8" borderId="11" xfId="0" applyNumberFormat="1" applyFont="1" applyFill="1" applyBorder="1" applyAlignment="1">
      <alignment horizontal="center" vertical="center"/>
    </xf>
    <xf numFmtId="40" fontId="28" fillId="8" borderId="23" xfId="0" applyNumberFormat="1" applyFont="1" applyFill="1" applyBorder="1" applyAlignment="1">
      <alignment horizontal="center" vertical="center"/>
    </xf>
    <xf numFmtId="40" fontId="25" fillId="6" borderId="41" xfId="0" applyNumberFormat="1" applyFont="1" applyFill="1" applyBorder="1" applyAlignment="1">
      <alignment horizontal="center"/>
    </xf>
    <xf numFmtId="40" fontId="25" fillId="6" borderId="23" xfId="0" applyNumberFormat="1" applyFont="1" applyFill="1" applyBorder="1" applyAlignment="1">
      <alignment horizontal="center"/>
    </xf>
    <xf numFmtId="40" fontId="25" fillId="6" borderId="11" xfId="0" applyNumberFormat="1" applyFont="1" applyFill="1" applyBorder="1" applyAlignment="1">
      <alignment horizontal="center"/>
    </xf>
    <xf numFmtId="0" fontId="28" fillId="5" borderId="0" xfId="0" applyFont="1" applyFill="1" applyBorder="1" applyAlignment="1">
      <alignment horizontal="center" vertical="center" textRotation="90"/>
    </xf>
    <xf numFmtId="0" fontId="28" fillId="6" borderId="2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12" xfId="0" applyFont="1" applyFill="1" applyBorder="1" applyAlignment="1">
      <alignment horizontal="center" vertical="center"/>
    </xf>
    <xf numFmtId="40" fontId="28" fillId="6" borderId="41" xfId="0" applyNumberFormat="1" applyFont="1" applyFill="1" applyBorder="1" applyAlignment="1">
      <alignment horizontal="center"/>
    </xf>
    <xf numFmtId="40" fontId="28" fillId="6" borderId="11" xfId="0" applyNumberFormat="1" applyFont="1" applyFill="1" applyBorder="1" applyAlignment="1">
      <alignment horizontal="center"/>
    </xf>
    <xf numFmtId="40" fontId="28" fillId="6" borderId="23" xfId="0" applyNumberFormat="1" applyFont="1" applyFill="1" applyBorder="1" applyAlignment="1">
      <alignment horizontal="center"/>
    </xf>
    <xf numFmtId="0" fontId="28" fillId="8" borderId="2" xfId="0" applyFont="1" applyFill="1" applyBorder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40" fontId="25" fillId="0" borderId="41" xfId="0" quotePrefix="1" applyNumberFormat="1" applyFont="1" applyFill="1" applyBorder="1" applyAlignment="1">
      <alignment horizontal="center"/>
    </xf>
    <xf numFmtId="0" fontId="30" fillId="7" borderId="4" xfId="0" applyFont="1" applyFill="1" applyBorder="1" applyAlignment="1">
      <alignment horizontal="center" vertical="center"/>
    </xf>
    <xf numFmtId="0" fontId="30" fillId="7" borderId="5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  <xf numFmtId="164" fontId="29" fillId="7" borderId="4" xfId="0" applyNumberFormat="1" applyFont="1" applyFill="1" applyBorder="1" applyAlignment="1">
      <alignment horizontal="center" vertical="center" wrapText="1"/>
    </xf>
    <xf numFmtId="164" fontId="29" fillId="7" borderId="9" xfId="0" applyNumberFormat="1" applyFont="1" applyFill="1" applyBorder="1" applyAlignment="1">
      <alignment horizontal="center" vertical="center" wrapText="1"/>
    </xf>
    <xf numFmtId="164" fontId="29" fillId="7" borderId="19" xfId="0" applyNumberFormat="1" applyFont="1" applyFill="1" applyBorder="1" applyAlignment="1">
      <alignment horizontal="center" vertical="center"/>
    </xf>
    <xf numFmtId="164" fontId="29" fillId="7" borderId="4" xfId="0" applyNumberFormat="1" applyFont="1" applyFill="1" applyBorder="1" applyAlignment="1">
      <alignment horizontal="center" vertical="center"/>
    </xf>
    <xf numFmtId="164" fontId="29" fillId="7" borderId="8" xfId="0" applyNumberFormat="1" applyFont="1" applyFill="1" applyBorder="1" applyAlignment="1">
      <alignment horizontal="center" vertical="center"/>
    </xf>
    <xf numFmtId="164" fontId="29" fillId="7" borderId="9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28" fillId="4" borderId="12" xfId="0" applyFont="1" applyFill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27" fillId="8" borderId="12" xfId="0" applyFont="1" applyFill="1" applyBorder="1" applyAlignment="1">
      <alignment horizontal="center" vertical="center"/>
    </xf>
    <xf numFmtId="164" fontId="34" fillId="7" borderId="41" xfId="0" applyNumberFormat="1" applyFont="1" applyFill="1" applyBorder="1" applyAlignment="1">
      <alignment horizontal="center" vertical="center" wrapText="1"/>
    </xf>
    <xf numFmtId="164" fontId="34" fillId="7" borderId="11" xfId="0" applyNumberFormat="1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23" xfId="0" applyFont="1" applyBorder="1" applyAlignment="1">
      <alignment horizontal="center" vertical="center" wrapText="1"/>
    </xf>
    <xf numFmtId="0" fontId="29" fillId="7" borderId="4" xfId="0" applyFont="1" applyFill="1" applyBorder="1" applyAlignment="1">
      <alignment horizontal="center" vertical="center"/>
    </xf>
    <xf numFmtId="0" fontId="29" fillId="7" borderId="8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8" borderId="2" xfId="0" applyFont="1" applyFill="1" applyBorder="1" applyAlignment="1">
      <alignment horizontal="center" vertical="center" textRotation="90"/>
    </xf>
    <xf numFmtId="0" fontId="28" fillId="8" borderId="1" xfId="0" applyFont="1" applyFill="1" applyBorder="1" applyAlignment="1">
      <alignment horizontal="center" vertical="center" textRotation="90"/>
    </xf>
    <xf numFmtId="0" fontId="28" fillId="8" borderId="12" xfId="0" applyFont="1" applyFill="1" applyBorder="1" applyAlignment="1">
      <alignment horizontal="center" vertical="center" textRotation="90"/>
    </xf>
    <xf numFmtId="0" fontId="29" fillId="4" borderId="0" xfId="0" applyFont="1" applyFill="1" applyBorder="1" applyAlignment="1">
      <alignment horizontal="center" vertical="center"/>
    </xf>
    <xf numFmtId="164" fontId="29" fillId="5" borderId="0" xfId="0" applyNumberFormat="1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164" fontId="34" fillId="7" borderId="0" xfId="0" applyNumberFormat="1" applyFont="1" applyFill="1" applyBorder="1" applyAlignment="1">
      <alignment horizontal="center" vertical="center"/>
    </xf>
    <xf numFmtId="49" fontId="6" fillId="0" borderId="14" xfId="0" applyNumberFormat="1" applyFont="1" applyFill="1" applyBorder="1" applyAlignment="1">
      <alignment horizontal="center" vertical="center" wrapText="1"/>
    </xf>
    <xf numFmtId="49" fontId="6" fillId="0" borderId="15" xfId="0" applyNumberFormat="1" applyFont="1" applyFill="1" applyBorder="1" applyAlignment="1">
      <alignment horizontal="center" vertical="center" wrapText="1"/>
    </xf>
    <xf numFmtId="49" fontId="6" fillId="0" borderId="16" xfId="0" applyNumberFormat="1" applyFont="1" applyFill="1" applyBorder="1" applyAlignment="1">
      <alignment horizontal="center" vertical="center" wrapText="1"/>
    </xf>
    <xf numFmtId="0" fontId="15" fillId="0" borderId="47" xfId="0" applyFont="1" applyFill="1" applyBorder="1" applyAlignment="1">
      <alignment horizontal="center" vertical="center"/>
    </xf>
    <xf numFmtId="0" fontId="15" fillId="0" borderId="48" xfId="0" applyFont="1" applyFill="1" applyBorder="1" applyAlignment="1">
      <alignment horizontal="center" vertical="center"/>
    </xf>
    <xf numFmtId="0" fontId="15" fillId="0" borderId="49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14" fillId="0" borderId="4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 wrapText="1"/>
    </xf>
    <xf numFmtId="0" fontId="14" fillId="0" borderId="16" xfId="0" applyFont="1" applyFill="1" applyBorder="1" applyAlignment="1">
      <alignment horizontal="center" vertical="center" wrapText="1"/>
    </xf>
    <xf numFmtId="40" fontId="20" fillId="6" borderId="14" xfId="0" applyNumberFormat="1" applyFont="1" applyFill="1" applyBorder="1" applyAlignment="1">
      <alignment horizontal="center" vertical="center"/>
    </xf>
    <xf numFmtId="40" fontId="20" fillId="6" borderId="16" xfId="0" applyNumberFormat="1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14" fillId="5" borderId="19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4" fillId="5" borderId="10" xfId="0" applyFont="1" applyFill="1" applyBorder="1" applyAlignment="1">
      <alignment horizontal="center" vertical="center" wrapText="1"/>
    </xf>
    <xf numFmtId="0" fontId="18" fillId="0" borderId="5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51" xfId="0" applyFont="1" applyFill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14" fillId="6" borderId="46" xfId="0" applyFont="1" applyFill="1" applyBorder="1" applyAlignment="1">
      <alignment horizontal="center" vertical="center"/>
    </xf>
    <xf numFmtId="0" fontId="14" fillId="6" borderId="18" xfId="0" applyFont="1" applyFill="1" applyBorder="1" applyAlignment="1">
      <alignment horizontal="center" vertical="center"/>
    </xf>
    <xf numFmtId="164" fontId="15" fillId="6" borderId="46" xfId="0" applyNumberFormat="1" applyFont="1" applyFill="1" applyBorder="1" applyAlignment="1">
      <alignment horizontal="center" vertical="center"/>
    </xf>
    <xf numFmtId="164" fontId="15" fillId="6" borderId="17" xfId="0" applyNumberFormat="1" applyFont="1" applyFill="1" applyBorder="1" applyAlignment="1">
      <alignment horizontal="center" vertical="center"/>
    </xf>
    <xf numFmtId="164" fontId="8" fillId="7" borderId="41" xfId="0" applyNumberFormat="1" applyFont="1" applyFill="1" applyBorder="1" applyAlignment="1">
      <alignment horizontal="left" vertical="center" wrapText="1"/>
    </xf>
    <xf numFmtId="164" fontId="8" fillId="7" borderId="11" xfId="0" applyNumberFormat="1" applyFont="1" applyFill="1" applyBorder="1" applyAlignment="1">
      <alignment horizontal="left" vertical="center" wrapText="1"/>
    </xf>
    <xf numFmtId="164" fontId="8" fillId="7" borderId="23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0" fontId="3" fillId="0" borderId="5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3" fillId="0" borderId="54" xfId="0" applyFont="1" applyBorder="1" applyAlignment="1">
      <alignment horizontal="left" vertical="center"/>
    </xf>
    <xf numFmtId="0" fontId="3" fillId="0" borderId="55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4" fillId="0" borderId="44" xfId="0" applyFont="1" applyFill="1" applyBorder="1" applyAlignment="1">
      <alignment horizontal="center" vertical="center"/>
    </xf>
    <xf numFmtId="0" fontId="24" fillId="0" borderId="58" xfId="0" applyFont="1" applyFill="1" applyBorder="1" applyAlignment="1">
      <alignment horizontal="center" vertical="center"/>
    </xf>
    <xf numFmtId="0" fontId="24" fillId="0" borderId="45" xfId="0" applyFont="1" applyFill="1" applyBorder="1" applyAlignment="1">
      <alignment horizontal="center" vertical="center"/>
    </xf>
    <xf numFmtId="164" fontId="1" fillId="0" borderId="41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5" borderId="41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43" fontId="28" fillId="13" borderId="80" xfId="0" applyNumberFormat="1" applyFont="1" applyFill="1" applyBorder="1" applyAlignment="1">
      <alignment horizontal="center" vertical="center" wrapText="1"/>
    </xf>
    <xf numFmtId="43" fontId="28" fillId="13" borderId="79" xfId="0" applyNumberFormat="1" applyFont="1" applyFill="1" applyBorder="1" applyAlignment="1">
      <alignment horizontal="center" vertical="center" wrapText="1"/>
    </xf>
    <xf numFmtId="43" fontId="28" fillId="11" borderId="46" xfId="1" applyFont="1" applyFill="1" applyBorder="1" applyAlignment="1">
      <alignment horizontal="center" vertical="center" wrapText="1"/>
    </xf>
    <xf numFmtId="43" fontId="28" fillId="11" borderId="77" xfId="1" applyFont="1" applyFill="1" applyBorder="1" applyAlignment="1">
      <alignment horizontal="center" vertical="center" wrapText="1"/>
    </xf>
    <xf numFmtId="43" fontId="28" fillId="11" borderId="75" xfId="1" applyFont="1" applyFill="1" applyBorder="1" applyAlignment="1">
      <alignment horizontal="center" vertical="center" wrapText="1"/>
    </xf>
    <xf numFmtId="43" fontId="28" fillId="11" borderId="76" xfId="1" applyFont="1" applyFill="1" applyBorder="1" applyAlignment="1">
      <alignment horizontal="center" vertical="center" wrapText="1"/>
    </xf>
    <xf numFmtId="43" fontId="28" fillId="11" borderId="72" xfId="1" applyFont="1" applyFill="1" applyBorder="1" applyAlignment="1">
      <alignment horizontal="center" vertical="center" wrapText="1"/>
    </xf>
    <xf numFmtId="43" fontId="28" fillId="11" borderId="78" xfId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16" fontId="1" fillId="0" borderId="8" xfId="0" applyNumberFormat="1" applyFont="1" applyBorder="1" applyAlignment="1">
      <alignment horizontal="center" vertical="center"/>
    </xf>
    <xf numFmtId="16" fontId="1" fillId="0" borderId="9" xfId="0" applyNumberFormat="1" applyFont="1" applyBorder="1" applyAlignment="1">
      <alignment horizontal="center" vertical="center"/>
    </xf>
    <xf numFmtId="16" fontId="1" fillId="0" borderId="1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1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167" fontId="1" fillId="0" borderId="4" xfId="0" applyNumberFormat="1" applyFont="1" applyBorder="1" applyAlignment="1">
      <alignment horizontal="center" vertical="center"/>
    </xf>
    <xf numFmtId="167" fontId="1" fillId="0" borderId="5" xfId="0" applyNumberFormat="1" applyFont="1" applyBorder="1" applyAlignment="1">
      <alignment horizontal="center" vertical="center"/>
    </xf>
    <xf numFmtId="167" fontId="1" fillId="0" borderId="9" xfId="0" applyNumberFormat="1" applyFont="1" applyBorder="1" applyAlignment="1">
      <alignment horizontal="center" vertical="center"/>
    </xf>
    <xf numFmtId="167" fontId="1" fillId="0" borderId="10" xfId="0" applyNumberFormat="1" applyFont="1" applyBorder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19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10" borderId="2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4" fontId="1" fillId="0" borderId="2" xfId="0" applyNumberFormat="1" applyFont="1" applyFill="1" applyBorder="1" applyAlignment="1">
      <alignment horizontal="center" vertical="center"/>
    </xf>
    <xf numFmtId="4" fontId="1" fillId="0" borderId="12" xfId="0" applyNumberFormat="1" applyFont="1" applyFill="1" applyBorder="1" applyAlignment="1">
      <alignment horizontal="center" vertical="center"/>
    </xf>
    <xf numFmtId="4" fontId="1" fillId="10" borderId="2" xfId="0" applyNumberFormat="1" applyFont="1" applyFill="1" applyBorder="1" applyAlignment="1">
      <alignment horizontal="center" vertical="center"/>
    </xf>
    <xf numFmtId="4" fontId="1" fillId="10" borderId="12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3" fontId="1" fillId="0" borderId="12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" fillId="0" borderId="12" xfId="0" applyNumberFormat="1" applyFont="1" applyBorder="1" applyAlignment="1">
      <alignment horizontal="center" vertical="center"/>
    </xf>
    <xf numFmtId="3" fontId="1" fillId="0" borderId="19" xfId="0" applyNumberFormat="1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3" fontId="1" fillId="0" borderId="19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4" fontId="1" fillId="0" borderId="19" xfId="0" applyNumberFormat="1" applyFont="1" applyBorder="1" applyAlignment="1">
      <alignment horizontal="center" vertical="center"/>
    </xf>
    <xf numFmtId="4" fontId="1" fillId="0" borderId="5" xfId="0" applyNumberFormat="1" applyFont="1" applyBorder="1" applyAlignment="1">
      <alignment horizontal="center" vertical="center"/>
    </xf>
    <xf numFmtId="4" fontId="1" fillId="0" borderId="8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'Carro Forte'!$AC$52:$AC$119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6-4CDA-808A-2CEC1BAB58FB}"/>
            </c:ext>
          </c:extLst>
        </c:ser>
        <c:ser>
          <c:idx val="1"/>
          <c:order val="1"/>
          <c:invertIfNegative val="0"/>
          <c:val>
            <c:numRef>
              <c:f>'Carro Forte'!$AD$52:$AD$119</c:f>
              <c:numCache>
                <c:formatCode>General</c:formatCode>
                <c:ptCount val="68"/>
              </c:numCache>
            </c:numRef>
          </c:val>
          <c:extLst>
            <c:ext xmlns:c16="http://schemas.microsoft.com/office/drawing/2014/chart" uri="{C3380CC4-5D6E-409C-BE32-E72D297353CC}">
              <c16:uniqueId val="{00000001-A566-4CDA-808A-2CEC1BAB58FB}"/>
            </c:ext>
          </c:extLst>
        </c:ser>
        <c:ser>
          <c:idx val="2"/>
          <c:order val="2"/>
          <c:invertIfNegative val="0"/>
          <c:val>
            <c:numRef>
              <c:f>'Carro Forte'!$AE$52:$AE$119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66-4CDA-808A-2CEC1BAB58FB}"/>
            </c:ext>
          </c:extLst>
        </c:ser>
        <c:ser>
          <c:idx val="3"/>
          <c:order val="3"/>
          <c:invertIfNegative val="0"/>
          <c:val>
            <c:numRef>
              <c:f>'Carro Forte'!$AF$52:$AF$119</c:f>
              <c:numCache>
                <c:formatCode>General</c:formatCode>
                <c:ptCount val="68"/>
              </c:numCache>
            </c:numRef>
          </c:val>
          <c:extLst>
            <c:ext xmlns:c16="http://schemas.microsoft.com/office/drawing/2014/chart" uri="{C3380CC4-5D6E-409C-BE32-E72D297353CC}">
              <c16:uniqueId val="{00000003-A566-4CDA-808A-2CEC1BAB58FB}"/>
            </c:ext>
          </c:extLst>
        </c:ser>
        <c:ser>
          <c:idx val="4"/>
          <c:order val="4"/>
          <c:invertIfNegative val="0"/>
          <c:val>
            <c:numRef>
              <c:f>'Carro Forte'!$AH$52:$AH$119</c:f>
              <c:numCache>
                <c:formatCode>General</c:formatCode>
                <c:ptCount val="68"/>
              </c:numCache>
            </c:numRef>
          </c:val>
          <c:extLst>
            <c:ext xmlns:c16="http://schemas.microsoft.com/office/drawing/2014/chart" uri="{C3380CC4-5D6E-409C-BE32-E72D297353CC}">
              <c16:uniqueId val="{00000004-A566-4CDA-808A-2CEC1BAB58FB}"/>
            </c:ext>
          </c:extLst>
        </c:ser>
        <c:ser>
          <c:idx val="5"/>
          <c:order val="5"/>
          <c:invertIfNegative val="0"/>
          <c:val>
            <c:numRef>
              <c:f>'Carro Forte'!$AJ$52:$AJ$119</c:f>
              <c:numCache>
                <c:formatCode>General</c:formatCode>
                <c:ptCount val="68"/>
              </c:numCache>
            </c:numRef>
          </c:val>
          <c:extLst>
            <c:ext xmlns:c16="http://schemas.microsoft.com/office/drawing/2014/chart" uri="{C3380CC4-5D6E-409C-BE32-E72D297353CC}">
              <c16:uniqueId val="{00000005-A566-4CDA-808A-2CEC1BAB5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859904"/>
        <c:axId val="233484288"/>
      </c:barChart>
      <c:catAx>
        <c:axId val="23285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33484288"/>
        <c:crosses val="autoZero"/>
        <c:auto val="1"/>
        <c:lblAlgn val="ctr"/>
        <c:lblOffset val="100"/>
        <c:noMultiLvlLbl val="0"/>
      </c:catAx>
      <c:valAx>
        <c:axId val="23348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2328599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Gráf1"/>
  <sheetViews>
    <sheetView zoomScale="82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97365</xdr:colOff>
      <xdr:row>120</xdr:row>
      <xdr:rowOff>86786</xdr:rowOff>
    </xdr:from>
    <xdr:to>
      <xdr:col>8</xdr:col>
      <xdr:colOff>287865</xdr:colOff>
      <xdr:row>123</xdr:row>
      <xdr:rowOff>85643</xdr:rowOff>
    </xdr:to>
    <xdr:sp macro="" textlink="">
      <xdr:nvSpPr>
        <xdr:cNvPr id="8" name="Seta para a esquerd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854448" y="15210369"/>
          <a:ext cx="1174750" cy="4751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8</xdr:col>
      <xdr:colOff>114300</xdr:colOff>
      <xdr:row>126</xdr:row>
      <xdr:rowOff>129540</xdr:rowOff>
    </xdr:from>
    <xdr:to>
      <xdr:col>10</xdr:col>
      <xdr:colOff>231776</xdr:colOff>
      <xdr:row>129</xdr:row>
      <xdr:rowOff>99822</xdr:rowOff>
    </xdr:to>
    <xdr:sp macro="" textlink="">
      <xdr:nvSpPr>
        <xdr:cNvPr id="3" name="Seta para a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629275" y="19712940"/>
          <a:ext cx="2012951" cy="713232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19050</xdr:rowOff>
        </xdr:from>
        <xdr:to>
          <xdr:col>3</xdr:col>
          <xdr:colOff>800100</xdr:colOff>
          <xdr:row>8</xdr:row>
          <xdr:rowOff>304800</xdr:rowOff>
        </xdr:to>
        <xdr:sp macro="" textlink="">
          <xdr:nvSpPr>
            <xdr:cNvPr id="275876" name="CommandButton1" hidden="1">
              <a:extLst>
                <a:ext uri="{63B3BB69-23CF-44E3-9099-C40C66FF867C}">
                  <a14:compatExt spid="_x0000_s275876"/>
                </a:ext>
                <a:ext uri="{FF2B5EF4-FFF2-40B4-BE49-F238E27FC236}">
                  <a16:creationId xmlns:a16="http://schemas.microsoft.com/office/drawing/2014/main" id="{00000000-0008-0000-0100-0000A435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8470</xdr:colOff>
      <xdr:row>11</xdr:row>
      <xdr:rowOff>77258</xdr:rowOff>
    </xdr:from>
    <xdr:to>
      <xdr:col>22</xdr:col>
      <xdr:colOff>24853</xdr:colOff>
      <xdr:row>19</xdr:row>
      <xdr:rowOff>104690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09887" y="1992841"/>
          <a:ext cx="979466" cy="694182"/>
        </a:xfrm>
        <a:prstGeom prst="lef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32</xdr:col>
      <xdr:colOff>95256</xdr:colOff>
      <xdr:row>11</xdr:row>
      <xdr:rowOff>74081</xdr:rowOff>
    </xdr:from>
    <xdr:to>
      <xdr:col>34</xdr:col>
      <xdr:colOff>95252</xdr:colOff>
      <xdr:row>23</xdr:row>
      <xdr:rowOff>74079</xdr:rowOff>
    </xdr:to>
    <xdr:sp macro="" textlink="">
      <xdr:nvSpPr>
        <xdr:cNvPr id="5" name="Seta para a esquerda e para cim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16200000">
          <a:off x="16049630" y="2090207"/>
          <a:ext cx="1386415" cy="1439329"/>
        </a:xfrm>
        <a:prstGeom prst="leftUpArrow">
          <a:avLst>
            <a:gd name="adj1" fmla="val 25212"/>
            <a:gd name="adj2" fmla="val 25000"/>
            <a:gd name="adj3" fmla="val 39118"/>
          </a:avLst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oneCellAnchor>
    <xdr:from>
      <xdr:col>8</xdr:col>
      <xdr:colOff>255152</xdr:colOff>
      <xdr:row>134</xdr:row>
      <xdr:rowOff>80131</xdr:rowOff>
    </xdr:from>
    <xdr:ext cx="1325998" cy="525537"/>
    <xdr:sp macro="" textlink="">
      <xdr:nvSpPr>
        <xdr:cNvPr id="6" name="Seta para a direit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769752" y="15891631"/>
          <a:ext cx="1325998" cy="525537"/>
        </a:xfrm>
        <a:prstGeom prst="rightArrow">
          <a:avLst/>
        </a:prstGeom>
        <a:solidFill>
          <a:schemeClr val="accent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endParaRPr lang="en-US" sz="1100"/>
        </a:p>
      </xdr:txBody>
    </xdr:sp>
    <xdr:clientData/>
  </xdr:oneCellAnchor>
  <xdr:oneCellAnchor>
    <xdr:from>
      <xdr:col>8</xdr:col>
      <xdr:colOff>302684</xdr:colOff>
      <xdr:row>135</xdr:row>
      <xdr:rowOff>28575</xdr:rowOff>
    </xdr:from>
    <xdr:ext cx="1101392" cy="280205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3184" y="20570825"/>
          <a:ext cx="110139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200" b="1"/>
            <a:t>TOTAL DO DIA</a:t>
          </a:r>
        </a:p>
      </xdr:txBody>
    </xdr:sp>
    <xdr:clientData/>
  </xdr:oneCellAnchor>
  <xdr:twoCellAnchor>
    <xdr:from>
      <xdr:col>45</xdr:col>
      <xdr:colOff>97372</xdr:colOff>
      <xdr:row>26</xdr:row>
      <xdr:rowOff>28574</xdr:rowOff>
    </xdr:from>
    <xdr:to>
      <xdr:col>48</xdr:col>
      <xdr:colOff>243418</xdr:colOff>
      <xdr:row>34</xdr:row>
      <xdr:rowOff>56006</xdr:rowOff>
    </xdr:to>
    <xdr:sp macro="" textlink="">
      <xdr:nvSpPr>
        <xdr:cNvPr id="10" name="Seta para a esquerd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5380955" y="3976157"/>
          <a:ext cx="1225546" cy="694182"/>
        </a:xfrm>
        <a:prstGeom prst="lef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TRANSFERIR</a:t>
          </a:r>
        </a:p>
      </xdr:txBody>
    </xdr:sp>
    <xdr:clientData/>
  </xdr:twoCellAnchor>
  <xdr:oneCellAnchor>
    <xdr:from>
      <xdr:col>2</xdr:col>
      <xdr:colOff>124054</xdr:colOff>
      <xdr:row>43</xdr:row>
      <xdr:rowOff>74995</xdr:rowOff>
    </xdr:from>
    <xdr:ext cx="1988622" cy="526298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 rot="19888898">
          <a:off x="362179" y="6635339"/>
          <a:ext cx="1988622" cy="526298"/>
        </a:xfrm>
        <a:prstGeom prst="rect">
          <a:avLst/>
        </a:prstGeom>
        <a:noFill/>
        <a:ln w="6350" cmpd="sng">
          <a:solidFill>
            <a:srgbClr val="FF0000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0">
          <a:spAutoFit/>
        </a:bodyPr>
        <a:lstStyle/>
        <a:p>
          <a:pPr algn="ctr"/>
          <a:r>
            <a:rPr lang="pt-BR" sz="1200" b="1">
              <a:solidFill>
                <a:srgbClr val="FF0000"/>
              </a:solidFill>
              <a:latin typeface="Arial Black" panose="020B0A04020102020204" pitchFamily="34" charset="0"/>
            </a:rPr>
            <a:t>AOS</a:t>
          </a:r>
          <a:r>
            <a:rPr lang="pt-BR" sz="1200" b="1" baseline="0">
              <a:solidFill>
                <a:srgbClr val="FF0000"/>
              </a:solidFill>
              <a:latin typeface="Arial Black" panose="020B0A04020102020204" pitchFamily="34" charset="0"/>
            </a:rPr>
            <a:t> SÁBADOS </a:t>
          </a:r>
        </a:p>
        <a:p>
          <a:pPr algn="ctr"/>
          <a:r>
            <a:rPr lang="pt-BR" sz="1200" b="1" baseline="0">
              <a:solidFill>
                <a:srgbClr val="FF0000"/>
              </a:solidFill>
              <a:latin typeface="Arial Black" panose="020B0A04020102020204" pitchFamily="34" charset="0"/>
            </a:rPr>
            <a:t>SÓ LANÇAR À TARDE</a:t>
          </a:r>
          <a:endParaRPr lang="pt-BR" sz="1200" b="1">
            <a:solidFill>
              <a:srgbClr val="FF00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2</xdr:row>
          <xdr:rowOff>247650</xdr:rowOff>
        </xdr:from>
        <xdr:to>
          <xdr:col>25</xdr:col>
          <xdr:colOff>247650</xdr:colOff>
          <xdr:row>4</xdr:row>
          <xdr:rowOff>171450</xdr:rowOff>
        </xdr:to>
        <xdr:sp macro="" textlink="">
          <xdr:nvSpPr>
            <xdr:cNvPr id="277505" name="CommandButton1" hidden="1">
              <a:extLst>
                <a:ext uri="{63B3BB69-23CF-44E3-9099-C40C66FF867C}">
                  <a14:compatExt spid="_x0000_s277505"/>
                </a:ext>
                <a:ext uri="{FF2B5EF4-FFF2-40B4-BE49-F238E27FC236}">
                  <a16:creationId xmlns:a16="http://schemas.microsoft.com/office/drawing/2014/main" id="{00000000-0008-0000-0200-0000013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180976</xdr:colOff>
      <xdr:row>9</xdr:row>
      <xdr:rowOff>103632</xdr:rowOff>
    </xdr:from>
    <xdr:to>
      <xdr:col>7</xdr:col>
      <xdr:colOff>504826</xdr:colOff>
      <xdr:row>10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6" y="1741932"/>
          <a:ext cx="1981200" cy="286893"/>
        </a:xfrm>
        <a:prstGeom prst="rect">
          <a:avLst/>
        </a:prstGeom>
      </xdr:spPr>
    </xdr:pic>
    <xdr:clientData/>
  </xdr:twoCellAnchor>
  <xdr:twoCellAnchor editAs="oneCell">
    <xdr:from>
      <xdr:col>0</xdr:col>
      <xdr:colOff>214307</xdr:colOff>
      <xdr:row>1</xdr:row>
      <xdr:rowOff>0</xdr:rowOff>
    </xdr:from>
    <xdr:to>
      <xdr:col>7</xdr:col>
      <xdr:colOff>238125</xdr:colOff>
      <xdr:row>2</xdr:row>
      <xdr:rowOff>154051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07" y="161925"/>
          <a:ext cx="2519368" cy="4017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B0F0"/>
    <pageSetUpPr fitToPage="1"/>
  </sheetPr>
  <dimension ref="A1:AN134"/>
  <sheetViews>
    <sheetView showWhiteSpace="0" topLeftCell="A100" zoomScaleNormal="100" workbookViewId="0">
      <selection activeCell="H97" sqref="H97:I98"/>
    </sheetView>
  </sheetViews>
  <sheetFormatPr defaultColWidth="9.140625" defaultRowHeight="12.75" x14ac:dyDescent="0.2"/>
  <cols>
    <col min="1" max="3" width="1.7109375" style="1" customWidth="1"/>
    <col min="4" max="5" width="16.7109375" style="1" customWidth="1"/>
    <col min="6" max="6" width="15.7109375" style="1" customWidth="1"/>
    <col min="7" max="7" width="12.7109375" style="1" customWidth="1"/>
    <col min="8" max="9" width="15.7109375" style="1" customWidth="1"/>
    <col min="10" max="10" width="12.7109375" style="1" customWidth="1"/>
    <col min="11" max="12" width="15.7109375" style="1" customWidth="1"/>
    <col min="13" max="13" width="12.7109375" style="1" customWidth="1"/>
    <col min="14" max="15" width="15.7109375" style="1" customWidth="1"/>
    <col min="16" max="16" width="12.7109375" style="1" customWidth="1"/>
    <col min="17" max="18" width="15.7109375" style="1" customWidth="1"/>
    <col min="19" max="19" width="12.7109375" style="1" customWidth="1"/>
    <col min="20" max="21" width="15.7109375" style="1" customWidth="1"/>
    <col min="22" max="22" width="14.7109375" style="1" customWidth="1"/>
    <col min="23" max="24" width="15.7109375" style="1" customWidth="1"/>
    <col min="25" max="25" width="12.7109375" style="1" hidden="1" customWidth="1"/>
    <col min="26" max="27" width="15.7109375" style="1" hidden="1" customWidth="1"/>
    <col min="28" max="28" width="14.7109375" style="1" hidden="1" customWidth="1"/>
    <col min="29" max="30" width="15.7109375" style="1" hidden="1" customWidth="1"/>
    <col min="31" max="31" width="12.7109375" style="1" hidden="1" customWidth="1"/>
    <col min="32" max="33" width="15.7109375" style="1" hidden="1" customWidth="1"/>
    <col min="34" max="34" width="14.7109375" style="1" hidden="1" customWidth="1"/>
    <col min="35" max="36" width="15.7109375" style="1" hidden="1" customWidth="1"/>
    <col min="37" max="37" width="1.7109375" style="1" hidden="1" customWidth="1"/>
    <col min="38" max="39" width="1.7109375" style="1" customWidth="1"/>
    <col min="40" max="40" width="12.7109375" style="1" customWidth="1"/>
    <col min="41" max="41" width="9.140625" style="1"/>
    <col min="42" max="42" width="10.7109375" style="1" bestFit="1" customWidth="1"/>
    <col min="43" max="44" width="9.140625" style="1"/>
    <col min="45" max="45" width="3.7109375" style="1" customWidth="1"/>
    <col min="46" max="48" width="9.140625" style="1"/>
    <col min="49" max="49" width="1.7109375" style="1" customWidth="1"/>
    <col min="50" max="16384" width="9.140625" style="1"/>
  </cols>
  <sheetData>
    <row r="1" spans="1:40" ht="9.9499999999999993" customHeight="1" x14ac:dyDescent="0.2">
      <c r="A1" s="181"/>
      <c r="B1" s="109"/>
      <c r="C1" s="109"/>
      <c r="D1" s="109"/>
      <c r="E1" s="109"/>
      <c r="F1" s="109"/>
      <c r="G1" s="109"/>
      <c r="H1" s="109"/>
      <c r="I1" s="109"/>
      <c r="J1" s="109" t="s">
        <v>78</v>
      </c>
      <c r="K1" s="109"/>
      <c r="L1" s="109"/>
      <c r="M1" s="109" t="s">
        <v>79</v>
      </c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2"/>
    </row>
    <row r="2" spans="1:40" ht="9.9499999999999993" customHeight="1" thickBot="1" x14ac:dyDescent="0.25">
      <c r="A2" s="181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09"/>
      <c r="AN2" s="2"/>
    </row>
    <row r="3" spans="1:40" ht="24.95" customHeight="1" thickBot="1" x14ac:dyDescent="0.25">
      <c r="A3" s="181"/>
      <c r="B3" s="154"/>
      <c r="C3" s="154"/>
      <c r="D3" s="547" t="s">
        <v>119</v>
      </c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548"/>
      <c r="W3" s="548"/>
      <c r="X3" s="548"/>
      <c r="Y3" s="548"/>
      <c r="Z3" s="548"/>
      <c r="AA3" s="548"/>
      <c r="AB3" s="548"/>
      <c r="AC3" s="548"/>
      <c r="AD3" s="548"/>
      <c r="AE3" s="548"/>
      <c r="AF3" s="548"/>
      <c r="AG3" s="548"/>
      <c r="AH3" s="548"/>
      <c r="AI3" s="548"/>
      <c r="AJ3" s="548"/>
      <c r="AK3" s="156"/>
      <c r="AL3" s="153"/>
      <c r="AM3" s="109"/>
      <c r="AN3" s="2"/>
    </row>
    <row r="4" spans="1:40" ht="5.0999999999999996" customHeight="1" thickBot="1" x14ac:dyDescent="0.25">
      <c r="A4" s="181"/>
      <c r="B4" s="154"/>
      <c r="C4" s="154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3"/>
      <c r="AM4" s="109"/>
      <c r="AN4" s="2"/>
    </row>
    <row r="5" spans="1:40" ht="24.95" customHeight="1" thickBot="1" x14ac:dyDescent="0.25">
      <c r="A5" s="181"/>
      <c r="B5" s="154"/>
      <c r="C5" s="154"/>
      <c r="D5" s="549" t="s">
        <v>71</v>
      </c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156"/>
      <c r="AL5" s="153"/>
      <c r="AM5" s="109"/>
      <c r="AN5" s="2"/>
    </row>
    <row r="6" spans="1:40" ht="9.9499999999999993" customHeight="1" thickBot="1" x14ac:dyDescent="0.25">
      <c r="A6" s="181"/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3"/>
      <c r="AM6" s="109"/>
      <c r="AN6" s="2"/>
    </row>
    <row r="7" spans="1:40" ht="24.95" customHeight="1" thickBot="1" x14ac:dyDescent="0.25">
      <c r="A7" s="181"/>
      <c r="B7" s="154"/>
      <c r="C7" s="154"/>
      <c r="D7" s="570" t="s">
        <v>113</v>
      </c>
      <c r="E7" s="571"/>
      <c r="F7" s="551"/>
      <c r="G7" s="552"/>
      <c r="H7" s="552"/>
      <c r="I7" s="552"/>
      <c r="J7" s="552"/>
      <c r="K7" s="552"/>
      <c r="L7" s="552"/>
      <c r="M7" s="552"/>
      <c r="N7" s="552"/>
      <c r="O7" s="552"/>
      <c r="P7" s="552"/>
      <c r="Q7" s="552"/>
      <c r="R7" s="552"/>
      <c r="S7" s="552"/>
      <c r="T7" s="552"/>
      <c r="U7" s="552"/>
      <c r="V7" s="552"/>
      <c r="W7" s="552"/>
      <c r="X7" s="552"/>
      <c r="Y7" s="552"/>
      <c r="Z7" s="552"/>
      <c r="AA7" s="552"/>
      <c r="AB7" s="552"/>
      <c r="AC7" s="552"/>
      <c r="AD7" s="552"/>
      <c r="AE7" s="552"/>
      <c r="AF7" s="552"/>
      <c r="AG7" s="552"/>
      <c r="AH7" s="552"/>
      <c r="AI7" s="552"/>
      <c r="AJ7" s="552"/>
      <c r="AK7" s="154"/>
      <c r="AL7" s="153"/>
      <c r="AM7" s="109"/>
      <c r="AN7" s="2"/>
    </row>
    <row r="8" spans="1:40" ht="9.9499999999999993" customHeight="1" thickBot="1" x14ac:dyDescent="0.25">
      <c r="A8" s="181"/>
      <c r="B8" s="154"/>
      <c r="C8" s="154"/>
      <c r="D8" s="157"/>
      <c r="E8" s="158"/>
      <c r="F8" s="154"/>
      <c r="G8" s="154"/>
      <c r="H8" s="158"/>
      <c r="I8" s="154"/>
      <c r="J8" s="154"/>
      <c r="K8" s="158"/>
      <c r="L8" s="154"/>
      <c r="M8" s="154"/>
      <c r="N8" s="158"/>
      <c r="O8" s="154"/>
      <c r="P8" s="154"/>
      <c r="Q8" s="154"/>
      <c r="R8" s="154"/>
      <c r="S8" s="154"/>
      <c r="T8" s="158"/>
      <c r="U8" s="158"/>
      <c r="V8" s="158"/>
      <c r="W8" s="158"/>
      <c r="X8" s="154"/>
      <c r="Y8" s="154"/>
      <c r="Z8" s="158"/>
      <c r="AA8" s="158"/>
      <c r="AB8" s="158"/>
      <c r="AC8" s="158"/>
      <c r="AD8" s="154"/>
      <c r="AE8" s="154"/>
      <c r="AF8" s="158"/>
      <c r="AG8" s="158"/>
      <c r="AH8" s="158"/>
      <c r="AI8" s="158"/>
      <c r="AJ8" s="154"/>
      <c r="AK8" s="154"/>
      <c r="AL8" s="153"/>
      <c r="AM8" s="109"/>
      <c r="AN8" s="2"/>
    </row>
    <row r="9" spans="1:40" ht="24.95" customHeight="1" thickBot="1" x14ac:dyDescent="0.25">
      <c r="A9" s="181"/>
      <c r="B9" s="154"/>
      <c r="C9" s="154"/>
      <c r="D9" s="157"/>
      <c r="E9" s="502" t="s">
        <v>84</v>
      </c>
      <c r="F9" s="503"/>
      <c r="G9" s="161"/>
      <c r="H9" s="502" t="s">
        <v>118</v>
      </c>
      <c r="I9" s="503"/>
      <c r="J9" s="161"/>
      <c r="K9" s="502" t="s">
        <v>106</v>
      </c>
      <c r="L9" s="503"/>
      <c r="M9" s="154"/>
      <c r="N9" s="502" t="s">
        <v>85</v>
      </c>
      <c r="O9" s="503"/>
      <c r="P9" s="161"/>
      <c r="Q9" s="502" t="s">
        <v>86</v>
      </c>
      <c r="R9" s="503"/>
      <c r="S9" s="154"/>
      <c r="T9" s="502" t="s">
        <v>87</v>
      </c>
      <c r="U9" s="503"/>
      <c r="V9" s="161"/>
      <c r="W9" s="502" t="s">
        <v>88</v>
      </c>
      <c r="X9" s="503"/>
      <c r="Y9" s="154"/>
      <c r="Z9" s="502" t="s">
        <v>91</v>
      </c>
      <c r="AA9" s="503"/>
      <c r="AB9" s="161"/>
      <c r="AC9" s="502" t="s">
        <v>92</v>
      </c>
      <c r="AD9" s="503"/>
      <c r="AE9" s="154"/>
      <c r="AF9" s="502" t="s">
        <v>89</v>
      </c>
      <c r="AG9" s="503"/>
      <c r="AH9" s="161"/>
      <c r="AI9" s="502" t="s">
        <v>93</v>
      </c>
      <c r="AJ9" s="503"/>
      <c r="AK9" s="154"/>
      <c r="AL9" s="153"/>
      <c r="AM9" s="109"/>
      <c r="AN9" s="2"/>
    </row>
    <row r="10" spans="1:40" ht="5.0999999999999996" customHeight="1" thickBot="1" x14ac:dyDescent="0.25">
      <c r="A10" s="181"/>
      <c r="B10" s="154"/>
      <c r="C10" s="154"/>
      <c r="D10" s="158"/>
      <c r="E10" s="158"/>
      <c r="F10" s="158"/>
      <c r="G10" s="161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3"/>
      <c r="AM10" s="109"/>
      <c r="AN10" s="2"/>
    </row>
    <row r="11" spans="1:40" ht="12.75" customHeight="1" x14ac:dyDescent="0.2">
      <c r="A11" s="181"/>
      <c r="B11" s="154"/>
      <c r="C11" s="154"/>
      <c r="D11" s="154"/>
      <c r="E11" s="504" t="s">
        <v>114</v>
      </c>
      <c r="F11" s="505"/>
      <c r="G11" s="161"/>
      <c r="H11" s="504" t="s">
        <v>115</v>
      </c>
      <c r="I11" s="505"/>
      <c r="J11" s="154"/>
      <c r="K11" s="504" t="s">
        <v>124</v>
      </c>
      <c r="L11" s="505"/>
      <c r="M11" s="154"/>
      <c r="N11" s="504" t="s">
        <v>117</v>
      </c>
      <c r="O11" s="505"/>
      <c r="P11" s="154"/>
      <c r="Q11" s="504"/>
      <c r="R11" s="505"/>
      <c r="S11" s="154"/>
      <c r="T11" s="504"/>
      <c r="U11" s="505"/>
      <c r="V11" s="154"/>
      <c r="W11" s="504"/>
      <c r="X11" s="505"/>
      <c r="Y11" s="154"/>
      <c r="Z11" s="504"/>
      <c r="AA11" s="505"/>
      <c r="AB11" s="154"/>
      <c r="AC11" s="504"/>
      <c r="AD11" s="505"/>
      <c r="AE11" s="154"/>
      <c r="AF11" s="504"/>
      <c r="AG11" s="505"/>
      <c r="AH11" s="154"/>
      <c r="AI11" s="504"/>
      <c r="AJ11" s="505"/>
      <c r="AK11" s="154"/>
      <c r="AL11" s="153"/>
      <c r="AM11" s="109"/>
      <c r="AN11" s="2"/>
    </row>
    <row r="12" spans="1:40" s="6" customFormat="1" ht="13.5" thickBot="1" x14ac:dyDescent="0.25">
      <c r="A12" s="180"/>
      <c r="B12" s="155"/>
      <c r="C12" s="155"/>
      <c r="D12" s="155"/>
      <c r="E12" s="506"/>
      <c r="F12" s="507"/>
      <c r="G12" s="161"/>
      <c r="H12" s="506"/>
      <c r="I12" s="507"/>
      <c r="J12" s="161"/>
      <c r="K12" s="506"/>
      <c r="L12" s="507"/>
      <c r="M12" s="161"/>
      <c r="N12" s="506"/>
      <c r="O12" s="507"/>
      <c r="P12" s="161"/>
      <c r="Q12" s="506"/>
      <c r="R12" s="507"/>
      <c r="S12" s="161"/>
      <c r="T12" s="506"/>
      <c r="U12" s="507"/>
      <c r="V12" s="161"/>
      <c r="W12" s="506"/>
      <c r="X12" s="507"/>
      <c r="Y12" s="161"/>
      <c r="Z12" s="506"/>
      <c r="AA12" s="507"/>
      <c r="AB12" s="161"/>
      <c r="AC12" s="506"/>
      <c r="AD12" s="507"/>
      <c r="AE12" s="161"/>
      <c r="AF12" s="506"/>
      <c r="AG12" s="507"/>
      <c r="AH12" s="161"/>
      <c r="AI12" s="506"/>
      <c r="AJ12" s="507"/>
      <c r="AK12" s="155"/>
      <c r="AL12" s="179"/>
      <c r="AM12" s="180"/>
    </row>
    <row r="13" spans="1:40" s="6" customFormat="1" ht="5.0999999999999996" customHeight="1" thickBot="1" x14ac:dyDescent="0.25">
      <c r="A13" s="180"/>
      <c r="B13" s="155"/>
      <c r="C13" s="155"/>
      <c r="D13" s="155"/>
      <c r="E13" s="437"/>
      <c r="F13" s="437"/>
      <c r="G13" s="161"/>
      <c r="H13" s="159"/>
      <c r="I13" s="159"/>
      <c r="J13" s="161"/>
      <c r="K13" s="159"/>
      <c r="L13" s="159"/>
      <c r="M13" s="161"/>
      <c r="N13" s="437"/>
      <c r="O13" s="437"/>
      <c r="P13" s="161"/>
      <c r="Q13" s="437"/>
      <c r="R13" s="437"/>
      <c r="S13" s="161"/>
      <c r="T13" s="437"/>
      <c r="U13" s="437"/>
      <c r="V13" s="161"/>
      <c r="W13" s="437"/>
      <c r="X13" s="437"/>
      <c r="Y13" s="161"/>
      <c r="Z13" s="437"/>
      <c r="AA13" s="437"/>
      <c r="AB13" s="161"/>
      <c r="AC13" s="437"/>
      <c r="AD13" s="437"/>
      <c r="AE13" s="161"/>
      <c r="AF13" s="437"/>
      <c r="AG13" s="437"/>
      <c r="AH13" s="161"/>
      <c r="AI13" s="437"/>
      <c r="AJ13" s="437"/>
      <c r="AK13" s="155"/>
      <c r="AL13" s="179"/>
      <c r="AM13" s="180"/>
    </row>
    <row r="14" spans="1:40" s="6" customFormat="1" ht="15.75" customHeight="1" thickBot="1" x14ac:dyDescent="0.25">
      <c r="A14" s="180"/>
      <c r="B14" s="155"/>
      <c r="C14" s="155"/>
      <c r="D14" s="155"/>
      <c r="E14" s="523" t="str">
        <f>$D$7</f>
        <v>BASE</v>
      </c>
      <c r="F14" s="524"/>
      <c r="G14" s="161"/>
      <c r="H14" s="523" t="str">
        <f>$D$7</f>
        <v>BASE</v>
      </c>
      <c r="I14" s="524"/>
      <c r="J14" s="161"/>
      <c r="K14" s="523" t="str">
        <f>$D$7</f>
        <v>BASE</v>
      </c>
      <c r="L14" s="524"/>
      <c r="M14" s="161"/>
      <c r="N14" s="523" t="str">
        <f>$D$7</f>
        <v>BASE</v>
      </c>
      <c r="O14" s="524"/>
      <c r="P14" s="161"/>
      <c r="Q14" s="523" t="str">
        <f>$D$7</f>
        <v>BASE</v>
      </c>
      <c r="R14" s="524"/>
      <c r="S14" s="161"/>
      <c r="T14" s="523" t="str">
        <f>$D$7</f>
        <v>BASE</v>
      </c>
      <c r="U14" s="524"/>
      <c r="V14" s="161"/>
      <c r="W14" s="523" t="str">
        <f>$D$7</f>
        <v>BASE</v>
      </c>
      <c r="X14" s="524"/>
      <c r="Y14" s="161"/>
      <c r="Z14" s="523" t="str">
        <f>$D$7</f>
        <v>BASE</v>
      </c>
      <c r="AA14" s="524"/>
      <c r="AB14" s="161"/>
      <c r="AC14" s="523" t="str">
        <f>$D$7</f>
        <v>BASE</v>
      </c>
      <c r="AD14" s="524"/>
      <c r="AE14" s="161"/>
      <c r="AF14" s="523" t="str">
        <f>$D$7</f>
        <v>BASE</v>
      </c>
      <c r="AG14" s="524"/>
      <c r="AH14" s="161"/>
      <c r="AI14" s="523" t="str">
        <f>$D$7</f>
        <v>BASE</v>
      </c>
      <c r="AJ14" s="524"/>
      <c r="AK14" s="155"/>
      <c r="AL14" s="179"/>
      <c r="AM14" s="180"/>
    </row>
    <row r="15" spans="1:40" s="6" customFormat="1" ht="5.0999999999999996" customHeight="1" thickBot="1" x14ac:dyDescent="0.25">
      <c r="A15" s="180"/>
      <c r="B15" s="155"/>
      <c r="C15" s="155"/>
      <c r="D15" s="155"/>
      <c r="E15" s="437"/>
      <c r="F15" s="437"/>
      <c r="G15" s="161"/>
      <c r="H15" s="159"/>
      <c r="I15" s="159"/>
      <c r="J15" s="161"/>
      <c r="K15" s="159"/>
      <c r="L15" s="159"/>
      <c r="M15" s="161"/>
      <c r="N15" s="437"/>
      <c r="O15" s="437"/>
      <c r="P15" s="161"/>
      <c r="Q15" s="437"/>
      <c r="R15" s="437"/>
      <c r="S15" s="161"/>
      <c r="T15" s="437"/>
      <c r="U15" s="437"/>
      <c r="V15" s="161"/>
      <c r="W15" s="437"/>
      <c r="X15" s="437"/>
      <c r="Y15" s="161"/>
      <c r="Z15" s="437"/>
      <c r="AA15" s="437"/>
      <c r="AB15" s="161"/>
      <c r="AC15" s="437"/>
      <c r="AD15" s="437"/>
      <c r="AE15" s="161"/>
      <c r="AF15" s="437"/>
      <c r="AG15" s="437"/>
      <c r="AH15" s="161"/>
      <c r="AI15" s="437"/>
      <c r="AJ15" s="437"/>
      <c r="AK15" s="155"/>
      <c r="AL15" s="179"/>
      <c r="AM15" s="180"/>
    </row>
    <row r="16" spans="1:40" s="6" customFormat="1" ht="13.5" thickBot="1" x14ac:dyDescent="0.25">
      <c r="A16" s="180"/>
      <c r="B16" s="155"/>
      <c r="C16" s="155"/>
      <c r="D16" s="155"/>
      <c r="E16" s="162" t="s">
        <v>3</v>
      </c>
      <c r="F16" s="125" t="s">
        <v>2</v>
      </c>
      <c r="G16" s="155"/>
      <c r="H16" s="162" t="s">
        <v>3</v>
      </c>
      <c r="I16" s="125" t="s">
        <v>2</v>
      </c>
      <c r="J16" s="155"/>
      <c r="K16" s="125" t="s">
        <v>3</v>
      </c>
      <c r="L16" s="125" t="s">
        <v>2</v>
      </c>
      <c r="M16" s="155"/>
      <c r="N16" s="162" t="s">
        <v>3</v>
      </c>
      <c r="O16" s="125" t="s">
        <v>2</v>
      </c>
      <c r="P16" s="155"/>
      <c r="Q16" s="125" t="s">
        <v>3</v>
      </c>
      <c r="R16" s="125" t="s">
        <v>2</v>
      </c>
      <c r="S16" s="155"/>
      <c r="T16" s="162" t="s">
        <v>3</v>
      </c>
      <c r="U16" s="125" t="s">
        <v>2</v>
      </c>
      <c r="V16" s="155"/>
      <c r="W16" s="125" t="s">
        <v>3</v>
      </c>
      <c r="X16" s="125" t="s">
        <v>2</v>
      </c>
      <c r="Y16" s="155"/>
      <c r="Z16" s="162" t="s">
        <v>3</v>
      </c>
      <c r="AA16" s="125" t="s">
        <v>2</v>
      </c>
      <c r="AB16" s="155"/>
      <c r="AC16" s="125" t="s">
        <v>3</v>
      </c>
      <c r="AD16" s="125" t="s">
        <v>2</v>
      </c>
      <c r="AE16" s="155"/>
      <c r="AF16" s="162" t="s">
        <v>3</v>
      </c>
      <c r="AG16" s="125" t="s">
        <v>2</v>
      </c>
      <c r="AH16" s="155"/>
      <c r="AI16" s="125" t="s">
        <v>3</v>
      </c>
      <c r="AJ16" s="125" t="s">
        <v>2</v>
      </c>
      <c r="AK16" s="155"/>
      <c r="AL16" s="179"/>
      <c r="AM16" s="180"/>
    </row>
    <row r="17" spans="1:39" s="6" customFormat="1" ht="5.0999999999999996" customHeight="1" thickBot="1" x14ac:dyDescent="0.25">
      <c r="A17" s="180"/>
      <c r="B17" s="155"/>
      <c r="C17" s="155"/>
      <c r="D17" s="155"/>
      <c r="E17" s="160"/>
      <c r="F17" s="160"/>
      <c r="G17" s="155"/>
      <c r="H17" s="160"/>
      <c r="I17" s="160"/>
      <c r="J17" s="155"/>
      <c r="K17" s="160"/>
      <c r="L17" s="160"/>
      <c r="M17" s="155"/>
      <c r="N17" s="160"/>
      <c r="O17" s="160"/>
      <c r="P17" s="155"/>
      <c r="Q17" s="160"/>
      <c r="R17" s="160"/>
      <c r="S17" s="155"/>
      <c r="T17" s="160"/>
      <c r="U17" s="160"/>
      <c r="V17" s="155"/>
      <c r="W17" s="160"/>
      <c r="X17" s="160"/>
      <c r="Y17" s="155"/>
      <c r="Z17" s="160"/>
      <c r="AA17" s="160"/>
      <c r="AB17" s="155"/>
      <c r="AC17" s="160"/>
      <c r="AD17" s="160"/>
      <c r="AE17" s="155"/>
      <c r="AF17" s="160"/>
      <c r="AG17" s="160"/>
      <c r="AH17" s="155"/>
      <c r="AI17" s="160"/>
      <c r="AJ17" s="160"/>
      <c r="AK17" s="155"/>
      <c r="AL17" s="179"/>
      <c r="AM17" s="180"/>
    </row>
    <row r="18" spans="1:39" s="6" customFormat="1" x14ac:dyDescent="0.2">
      <c r="A18" s="180"/>
      <c r="B18" s="155"/>
      <c r="C18" s="155"/>
      <c r="D18" s="161">
        <v>1</v>
      </c>
      <c r="E18" s="126">
        <v>1000</v>
      </c>
      <c r="F18" s="127"/>
      <c r="G18" s="161">
        <v>1</v>
      </c>
      <c r="H18" s="485">
        <v>500</v>
      </c>
      <c r="I18" s="127"/>
      <c r="J18" s="161">
        <v>1</v>
      </c>
      <c r="K18" s="126"/>
      <c r="L18" s="127"/>
      <c r="M18" s="161">
        <v>1</v>
      </c>
      <c r="N18" s="126"/>
      <c r="O18" s="127"/>
      <c r="P18" s="161">
        <v>1</v>
      </c>
      <c r="Q18" s="126"/>
      <c r="R18" s="127"/>
      <c r="S18" s="161">
        <v>1</v>
      </c>
      <c r="T18" s="126"/>
      <c r="U18" s="127"/>
      <c r="V18" s="161">
        <v>1</v>
      </c>
      <c r="W18" s="126"/>
      <c r="X18" s="127"/>
      <c r="Y18" s="161">
        <v>1</v>
      </c>
      <c r="Z18" s="126"/>
      <c r="AA18" s="127"/>
      <c r="AB18" s="161">
        <v>1</v>
      </c>
      <c r="AC18" s="126"/>
      <c r="AD18" s="127"/>
      <c r="AE18" s="161">
        <v>1</v>
      </c>
      <c r="AF18" s="126"/>
      <c r="AG18" s="127"/>
      <c r="AH18" s="161">
        <v>1</v>
      </c>
      <c r="AI18" s="126"/>
      <c r="AJ18" s="127"/>
      <c r="AK18" s="155"/>
      <c r="AL18" s="179"/>
      <c r="AM18" s="180"/>
    </row>
    <row r="19" spans="1:39" x14ac:dyDescent="0.2">
      <c r="A19" s="181"/>
      <c r="B19" s="155"/>
      <c r="C19" s="155"/>
      <c r="D19" s="161">
        <v>2</v>
      </c>
      <c r="E19" s="128">
        <v>1000</v>
      </c>
      <c r="F19" s="129"/>
      <c r="G19" s="161">
        <v>2</v>
      </c>
      <c r="H19" s="130">
        <v>500</v>
      </c>
      <c r="I19" s="129"/>
      <c r="J19" s="161">
        <v>2</v>
      </c>
      <c r="K19" s="128"/>
      <c r="L19" s="129"/>
      <c r="M19" s="161">
        <v>2</v>
      </c>
      <c r="N19" s="128"/>
      <c r="O19" s="129"/>
      <c r="P19" s="161">
        <v>2</v>
      </c>
      <c r="Q19" s="128"/>
      <c r="R19" s="129"/>
      <c r="S19" s="161">
        <v>2</v>
      </c>
      <c r="T19" s="128"/>
      <c r="U19" s="129"/>
      <c r="V19" s="161">
        <v>2</v>
      </c>
      <c r="W19" s="128"/>
      <c r="X19" s="129"/>
      <c r="Y19" s="161">
        <v>2</v>
      </c>
      <c r="Z19" s="128"/>
      <c r="AA19" s="129"/>
      <c r="AB19" s="161">
        <v>2</v>
      </c>
      <c r="AC19" s="128"/>
      <c r="AD19" s="129"/>
      <c r="AE19" s="161">
        <v>2</v>
      </c>
      <c r="AF19" s="128"/>
      <c r="AG19" s="129"/>
      <c r="AH19" s="161">
        <v>2</v>
      </c>
      <c r="AI19" s="128"/>
      <c r="AJ19" s="129"/>
      <c r="AK19" s="155"/>
      <c r="AL19" s="163"/>
      <c r="AM19" s="181"/>
    </row>
    <row r="20" spans="1:39" x14ac:dyDescent="0.2">
      <c r="A20" s="181"/>
      <c r="B20" s="155"/>
      <c r="C20" s="155"/>
      <c r="D20" s="161">
        <v>3</v>
      </c>
      <c r="E20" s="129"/>
      <c r="F20" s="130">
        <v>3500</v>
      </c>
      <c r="G20" s="161">
        <v>3</v>
      </c>
      <c r="H20" s="129"/>
      <c r="I20" s="130">
        <v>1500</v>
      </c>
      <c r="J20" s="161">
        <v>3</v>
      </c>
      <c r="K20" s="129"/>
      <c r="L20" s="130"/>
      <c r="M20" s="161">
        <v>3</v>
      </c>
      <c r="N20" s="129"/>
      <c r="O20" s="130"/>
      <c r="P20" s="161">
        <v>3</v>
      </c>
      <c r="Q20" s="129"/>
      <c r="R20" s="130"/>
      <c r="S20" s="161">
        <v>3</v>
      </c>
      <c r="T20" s="129"/>
      <c r="U20" s="130"/>
      <c r="V20" s="161">
        <v>3</v>
      </c>
      <c r="W20" s="129"/>
      <c r="X20" s="130"/>
      <c r="Y20" s="161">
        <v>3</v>
      </c>
      <c r="Z20" s="129"/>
      <c r="AA20" s="130"/>
      <c r="AB20" s="161">
        <v>3</v>
      </c>
      <c r="AC20" s="129"/>
      <c r="AD20" s="130"/>
      <c r="AE20" s="161">
        <v>3</v>
      </c>
      <c r="AF20" s="129"/>
      <c r="AG20" s="130"/>
      <c r="AH20" s="161">
        <v>3</v>
      </c>
      <c r="AI20" s="129"/>
      <c r="AJ20" s="130"/>
      <c r="AK20" s="155"/>
      <c r="AL20" s="163"/>
      <c r="AM20" s="181"/>
    </row>
    <row r="21" spans="1:39" x14ac:dyDescent="0.2">
      <c r="A21" s="181"/>
      <c r="B21" s="155"/>
      <c r="C21" s="155"/>
      <c r="D21" s="161">
        <v>4</v>
      </c>
      <c r="E21" s="130"/>
      <c r="F21" s="129"/>
      <c r="G21" s="161">
        <v>4</v>
      </c>
      <c r="H21" s="130"/>
      <c r="I21" s="129"/>
      <c r="J21" s="161">
        <v>4</v>
      </c>
      <c r="K21" s="130"/>
      <c r="L21" s="129"/>
      <c r="M21" s="161">
        <v>4</v>
      </c>
      <c r="N21" s="130"/>
      <c r="O21" s="129"/>
      <c r="P21" s="161">
        <v>4</v>
      </c>
      <c r="Q21" s="130"/>
      <c r="R21" s="129"/>
      <c r="S21" s="161">
        <v>4</v>
      </c>
      <c r="T21" s="130"/>
      <c r="U21" s="129"/>
      <c r="V21" s="161">
        <v>4</v>
      </c>
      <c r="W21" s="130"/>
      <c r="X21" s="129"/>
      <c r="Y21" s="161">
        <v>4</v>
      </c>
      <c r="Z21" s="130"/>
      <c r="AA21" s="129"/>
      <c r="AB21" s="161">
        <v>4</v>
      </c>
      <c r="AC21" s="130"/>
      <c r="AD21" s="129"/>
      <c r="AE21" s="161">
        <v>4</v>
      </c>
      <c r="AF21" s="130"/>
      <c r="AG21" s="129"/>
      <c r="AH21" s="161">
        <v>4</v>
      </c>
      <c r="AI21" s="130"/>
      <c r="AJ21" s="129"/>
      <c r="AK21" s="155"/>
      <c r="AL21" s="163"/>
      <c r="AM21" s="181"/>
    </row>
    <row r="22" spans="1:39" x14ac:dyDescent="0.2">
      <c r="A22" s="181"/>
      <c r="B22" s="155"/>
      <c r="C22" s="155"/>
      <c r="D22" s="161">
        <v>5</v>
      </c>
      <c r="E22" s="129"/>
      <c r="F22" s="130"/>
      <c r="G22" s="161">
        <v>5</v>
      </c>
      <c r="H22" s="131"/>
      <c r="I22" s="130"/>
      <c r="J22" s="161">
        <v>5</v>
      </c>
      <c r="K22" s="129"/>
      <c r="L22" s="130"/>
      <c r="M22" s="161">
        <v>19</v>
      </c>
      <c r="N22" s="129"/>
      <c r="O22" s="130"/>
      <c r="P22" s="161">
        <v>5</v>
      </c>
      <c r="Q22" s="129"/>
      <c r="R22" s="130"/>
      <c r="S22" s="161">
        <v>5</v>
      </c>
      <c r="T22" s="129"/>
      <c r="U22" s="130"/>
      <c r="V22" s="161">
        <v>5</v>
      </c>
      <c r="W22" s="129"/>
      <c r="X22" s="130"/>
      <c r="Y22" s="161">
        <v>5</v>
      </c>
      <c r="Z22" s="129"/>
      <c r="AA22" s="130"/>
      <c r="AB22" s="161">
        <v>5</v>
      </c>
      <c r="AC22" s="129"/>
      <c r="AD22" s="130"/>
      <c r="AE22" s="161">
        <v>5</v>
      </c>
      <c r="AF22" s="129"/>
      <c r="AG22" s="130"/>
      <c r="AH22" s="161">
        <v>5</v>
      </c>
      <c r="AI22" s="129"/>
      <c r="AJ22" s="130"/>
      <c r="AK22" s="155"/>
      <c r="AL22" s="163"/>
      <c r="AM22" s="181"/>
    </row>
    <row r="23" spans="1:39" x14ac:dyDescent="0.2">
      <c r="A23" s="181"/>
      <c r="B23" s="155"/>
      <c r="C23" s="155"/>
      <c r="D23" s="161">
        <v>6</v>
      </c>
      <c r="E23" s="128"/>
      <c r="F23" s="129"/>
      <c r="G23" s="161">
        <v>6</v>
      </c>
      <c r="H23" s="130"/>
      <c r="I23" s="129"/>
      <c r="J23" s="161">
        <v>6</v>
      </c>
      <c r="K23" s="128"/>
      <c r="L23" s="129"/>
      <c r="M23" s="161">
        <v>6</v>
      </c>
      <c r="N23" s="128"/>
      <c r="O23" s="129"/>
      <c r="P23" s="161">
        <v>6</v>
      </c>
      <c r="Q23" s="128"/>
      <c r="R23" s="129"/>
      <c r="S23" s="161">
        <v>6</v>
      </c>
      <c r="T23" s="128"/>
      <c r="U23" s="129"/>
      <c r="V23" s="161">
        <v>6</v>
      </c>
      <c r="W23" s="128"/>
      <c r="X23" s="129"/>
      <c r="Y23" s="161">
        <v>6</v>
      </c>
      <c r="Z23" s="128"/>
      <c r="AA23" s="129"/>
      <c r="AB23" s="161">
        <v>6</v>
      </c>
      <c r="AC23" s="128"/>
      <c r="AD23" s="129"/>
      <c r="AE23" s="161">
        <v>6</v>
      </c>
      <c r="AF23" s="128"/>
      <c r="AG23" s="129"/>
      <c r="AH23" s="161">
        <v>6</v>
      </c>
      <c r="AI23" s="128"/>
      <c r="AJ23" s="129"/>
      <c r="AK23" s="155"/>
      <c r="AL23" s="163"/>
      <c r="AM23" s="181"/>
    </row>
    <row r="24" spans="1:39" x14ac:dyDescent="0.2">
      <c r="A24" s="181"/>
      <c r="B24" s="155"/>
      <c r="C24" s="155"/>
      <c r="D24" s="161">
        <v>7</v>
      </c>
      <c r="E24" s="131"/>
      <c r="F24" s="130"/>
      <c r="G24" s="161">
        <v>7</v>
      </c>
      <c r="H24" s="129"/>
      <c r="I24" s="130"/>
      <c r="J24" s="161">
        <v>7</v>
      </c>
      <c r="K24" s="131"/>
      <c r="L24" s="130"/>
      <c r="M24" s="161">
        <v>7</v>
      </c>
      <c r="N24" s="131"/>
      <c r="O24" s="130"/>
      <c r="P24" s="161">
        <v>7</v>
      </c>
      <c r="Q24" s="131"/>
      <c r="R24" s="130"/>
      <c r="S24" s="161">
        <v>7</v>
      </c>
      <c r="T24" s="131"/>
      <c r="U24" s="130"/>
      <c r="V24" s="161">
        <v>7</v>
      </c>
      <c r="W24" s="131"/>
      <c r="X24" s="130"/>
      <c r="Y24" s="161">
        <v>7</v>
      </c>
      <c r="Z24" s="131"/>
      <c r="AA24" s="130"/>
      <c r="AB24" s="161">
        <v>7</v>
      </c>
      <c r="AC24" s="131"/>
      <c r="AD24" s="130"/>
      <c r="AE24" s="161">
        <v>7</v>
      </c>
      <c r="AF24" s="131"/>
      <c r="AG24" s="130"/>
      <c r="AH24" s="161">
        <v>7</v>
      </c>
      <c r="AI24" s="131"/>
      <c r="AJ24" s="130"/>
      <c r="AK24" s="155"/>
      <c r="AL24" s="163"/>
      <c r="AM24" s="181"/>
    </row>
    <row r="25" spans="1:39" x14ac:dyDescent="0.2">
      <c r="A25" s="181"/>
      <c r="B25" s="155"/>
      <c r="C25" s="155"/>
      <c r="D25" s="161">
        <v>8</v>
      </c>
      <c r="E25" s="128"/>
      <c r="F25" s="129"/>
      <c r="G25" s="161">
        <v>8</v>
      </c>
      <c r="H25" s="130"/>
      <c r="I25" s="129"/>
      <c r="J25" s="161">
        <v>8</v>
      </c>
      <c r="K25" s="128"/>
      <c r="L25" s="129"/>
      <c r="M25" s="161">
        <v>8</v>
      </c>
      <c r="N25" s="128"/>
      <c r="O25" s="129"/>
      <c r="P25" s="161">
        <v>8</v>
      </c>
      <c r="Q25" s="128"/>
      <c r="R25" s="129"/>
      <c r="S25" s="161">
        <v>8</v>
      </c>
      <c r="T25" s="128"/>
      <c r="U25" s="129"/>
      <c r="V25" s="161">
        <v>8</v>
      </c>
      <c r="W25" s="128"/>
      <c r="X25" s="129"/>
      <c r="Y25" s="161">
        <v>8</v>
      </c>
      <c r="Z25" s="128"/>
      <c r="AA25" s="129"/>
      <c r="AB25" s="161">
        <v>8</v>
      </c>
      <c r="AC25" s="128"/>
      <c r="AD25" s="129"/>
      <c r="AE25" s="161">
        <v>8</v>
      </c>
      <c r="AF25" s="128"/>
      <c r="AG25" s="129"/>
      <c r="AH25" s="161">
        <v>8</v>
      </c>
      <c r="AI25" s="128"/>
      <c r="AJ25" s="129"/>
      <c r="AK25" s="155"/>
      <c r="AL25" s="163"/>
      <c r="AM25" s="181"/>
    </row>
    <row r="26" spans="1:39" x14ac:dyDescent="0.2">
      <c r="A26" s="181"/>
      <c r="B26" s="155"/>
      <c r="C26" s="155"/>
      <c r="D26" s="161">
        <v>9</v>
      </c>
      <c r="E26" s="131"/>
      <c r="F26" s="130"/>
      <c r="G26" s="161">
        <v>9</v>
      </c>
      <c r="H26" s="131"/>
      <c r="I26" s="130"/>
      <c r="J26" s="161">
        <v>9</v>
      </c>
      <c r="K26" s="131"/>
      <c r="L26" s="130"/>
      <c r="M26" s="161">
        <v>9</v>
      </c>
      <c r="N26" s="131"/>
      <c r="O26" s="130"/>
      <c r="P26" s="161">
        <v>9</v>
      </c>
      <c r="Q26" s="131"/>
      <c r="R26" s="130"/>
      <c r="S26" s="161">
        <v>9</v>
      </c>
      <c r="T26" s="131"/>
      <c r="U26" s="130"/>
      <c r="V26" s="161">
        <v>9</v>
      </c>
      <c r="W26" s="131"/>
      <c r="X26" s="130"/>
      <c r="Y26" s="161">
        <v>9</v>
      </c>
      <c r="Z26" s="131"/>
      <c r="AA26" s="130"/>
      <c r="AB26" s="161">
        <v>9</v>
      </c>
      <c r="AC26" s="131"/>
      <c r="AD26" s="130"/>
      <c r="AE26" s="161">
        <v>9</v>
      </c>
      <c r="AF26" s="131"/>
      <c r="AG26" s="130"/>
      <c r="AH26" s="161">
        <v>9</v>
      </c>
      <c r="AI26" s="131"/>
      <c r="AJ26" s="130"/>
      <c r="AK26" s="155"/>
      <c r="AL26" s="163"/>
      <c r="AM26" s="181"/>
    </row>
    <row r="27" spans="1:39" x14ac:dyDescent="0.2">
      <c r="A27" s="181"/>
      <c r="B27" s="155"/>
      <c r="C27" s="155"/>
      <c r="D27" s="161">
        <v>10</v>
      </c>
      <c r="E27" s="128"/>
      <c r="F27" s="129"/>
      <c r="G27" s="161">
        <v>10</v>
      </c>
      <c r="H27" s="128"/>
      <c r="I27" s="129"/>
      <c r="J27" s="161">
        <v>10</v>
      </c>
      <c r="K27" s="128"/>
      <c r="L27" s="129"/>
      <c r="M27" s="161">
        <v>10</v>
      </c>
      <c r="N27" s="128"/>
      <c r="O27" s="129"/>
      <c r="P27" s="161">
        <v>10</v>
      </c>
      <c r="Q27" s="128"/>
      <c r="R27" s="129"/>
      <c r="S27" s="161">
        <v>10</v>
      </c>
      <c r="T27" s="128"/>
      <c r="U27" s="129"/>
      <c r="V27" s="161">
        <v>10</v>
      </c>
      <c r="W27" s="128"/>
      <c r="X27" s="129"/>
      <c r="Y27" s="161">
        <v>10</v>
      </c>
      <c r="Z27" s="128"/>
      <c r="AA27" s="129"/>
      <c r="AB27" s="161">
        <v>10</v>
      </c>
      <c r="AC27" s="128"/>
      <c r="AD27" s="129"/>
      <c r="AE27" s="161">
        <v>10</v>
      </c>
      <c r="AF27" s="128"/>
      <c r="AG27" s="129"/>
      <c r="AH27" s="161">
        <v>10</v>
      </c>
      <c r="AI27" s="128"/>
      <c r="AJ27" s="129"/>
      <c r="AK27" s="155"/>
      <c r="AL27" s="163"/>
      <c r="AM27" s="181"/>
    </row>
    <row r="28" spans="1:39" x14ac:dyDescent="0.2">
      <c r="A28" s="181"/>
      <c r="B28" s="155"/>
      <c r="C28" s="155"/>
      <c r="D28" s="161">
        <v>11</v>
      </c>
      <c r="E28" s="131"/>
      <c r="F28" s="130"/>
      <c r="G28" s="161">
        <v>11</v>
      </c>
      <c r="H28" s="131"/>
      <c r="I28" s="130"/>
      <c r="J28" s="161">
        <v>11</v>
      </c>
      <c r="K28" s="131"/>
      <c r="L28" s="130"/>
      <c r="M28" s="161">
        <v>11</v>
      </c>
      <c r="N28" s="131"/>
      <c r="O28" s="130"/>
      <c r="P28" s="161">
        <v>11</v>
      </c>
      <c r="Q28" s="131"/>
      <c r="R28" s="130"/>
      <c r="S28" s="161">
        <v>11</v>
      </c>
      <c r="T28" s="131"/>
      <c r="U28" s="130"/>
      <c r="V28" s="161">
        <v>11</v>
      </c>
      <c r="W28" s="131"/>
      <c r="X28" s="130"/>
      <c r="Y28" s="161">
        <v>11</v>
      </c>
      <c r="Z28" s="131"/>
      <c r="AA28" s="130"/>
      <c r="AB28" s="161">
        <v>11</v>
      </c>
      <c r="AC28" s="131"/>
      <c r="AD28" s="130"/>
      <c r="AE28" s="161">
        <v>11</v>
      </c>
      <c r="AF28" s="131"/>
      <c r="AG28" s="130"/>
      <c r="AH28" s="161">
        <v>11</v>
      </c>
      <c r="AI28" s="131"/>
      <c r="AJ28" s="130"/>
      <c r="AK28" s="155"/>
      <c r="AL28" s="163"/>
      <c r="AM28" s="181"/>
    </row>
    <row r="29" spans="1:39" x14ac:dyDescent="0.2">
      <c r="A29" s="181"/>
      <c r="B29" s="155"/>
      <c r="C29" s="155"/>
      <c r="D29" s="161">
        <v>12</v>
      </c>
      <c r="E29" s="128"/>
      <c r="F29" s="129"/>
      <c r="G29" s="161">
        <v>12</v>
      </c>
      <c r="H29" s="128"/>
      <c r="I29" s="129"/>
      <c r="J29" s="161">
        <v>12</v>
      </c>
      <c r="K29" s="128"/>
      <c r="L29" s="129"/>
      <c r="M29" s="161">
        <v>12</v>
      </c>
      <c r="N29" s="128"/>
      <c r="O29" s="129"/>
      <c r="P29" s="161">
        <v>12</v>
      </c>
      <c r="Q29" s="128"/>
      <c r="R29" s="129"/>
      <c r="S29" s="161">
        <v>12</v>
      </c>
      <c r="T29" s="128"/>
      <c r="U29" s="129"/>
      <c r="V29" s="161">
        <v>12</v>
      </c>
      <c r="W29" s="128"/>
      <c r="X29" s="129"/>
      <c r="Y29" s="161">
        <v>12</v>
      </c>
      <c r="Z29" s="128"/>
      <c r="AA29" s="129"/>
      <c r="AB29" s="161">
        <v>12</v>
      </c>
      <c r="AC29" s="128"/>
      <c r="AD29" s="129"/>
      <c r="AE29" s="161">
        <v>12</v>
      </c>
      <c r="AF29" s="128"/>
      <c r="AG29" s="129"/>
      <c r="AH29" s="161">
        <v>12</v>
      </c>
      <c r="AI29" s="128"/>
      <c r="AJ29" s="129"/>
      <c r="AK29" s="155"/>
      <c r="AL29" s="163"/>
      <c r="AM29" s="181"/>
    </row>
    <row r="30" spans="1:39" x14ac:dyDescent="0.2">
      <c r="A30" s="181"/>
      <c r="B30" s="155"/>
      <c r="C30" s="155"/>
      <c r="D30" s="161">
        <v>13</v>
      </c>
      <c r="E30" s="131"/>
      <c r="F30" s="130"/>
      <c r="G30" s="161">
        <v>13</v>
      </c>
      <c r="H30" s="131"/>
      <c r="I30" s="130"/>
      <c r="J30" s="161">
        <v>13</v>
      </c>
      <c r="K30" s="131"/>
      <c r="L30" s="130"/>
      <c r="M30" s="161">
        <v>13</v>
      </c>
      <c r="N30" s="131"/>
      <c r="O30" s="130"/>
      <c r="P30" s="161">
        <v>13</v>
      </c>
      <c r="Q30" s="131"/>
      <c r="R30" s="130"/>
      <c r="S30" s="161">
        <v>13</v>
      </c>
      <c r="T30" s="131"/>
      <c r="U30" s="130"/>
      <c r="V30" s="161">
        <v>13</v>
      </c>
      <c r="W30" s="131"/>
      <c r="X30" s="130"/>
      <c r="Y30" s="161">
        <v>13</v>
      </c>
      <c r="Z30" s="131"/>
      <c r="AA30" s="130"/>
      <c r="AB30" s="161">
        <v>13</v>
      </c>
      <c r="AC30" s="131"/>
      <c r="AD30" s="130"/>
      <c r="AE30" s="161">
        <v>13</v>
      </c>
      <c r="AF30" s="131"/>
      <c r="AG30" s="130"/>
      <c r="AH30" s="161">
        <v>13</v>
      </c>
      <c r="AI30" s="131"/>
      <c r="AJ30" s="130"/>
      <c r="AK30" s="155"/>
      <c r="AL30" s="163"/>
      <c r="AM30" s="181"/>
    </row>
    <row r="31" spans="1:39" x14ac:dyDescent="0.2">
      <c r="A31" s="181"/>
      <c r="B31" s="155"/>
      <c r="C31" s="155"/>
      <c r="D31" s="161">
        <v>14</v>
      </c>
      <c r="E31" s="128"/>
      <c r="F31" s="129"/>
      <c r="G31" s="161">
        <v>14</v>
      </c>
      <c r="H31" s="128"/>
      <c r="I31" s="129"/>
      <c r="J31" s="161">
        <v>14</v>
      </c>
      <c r="K31" s="128"/>
      <c r="L31" s="129"/>
      <c r="M31" s="161">
        <v>14</v>
      </c>
      <c r="N31" s="128"/>
      <c r="O31" s="129"/>
      <c r="P31" s="161">
        <v>14</v>
      </c>
      <c r="Q31" s="128"/>
      <c r="R31" s="129"/>
      <c r="S31" s="161">
        <v>14</v>
      </c>
      <c r="T31" s="128"/>
      <c r="U31" s="129"/>
      <c r="V31" s="161">
        <v>14</v>
      </c>
      <c r="W31" s="128"/>
      <c r="X31" s="129"/>
      <c r="Y31" s="161">
        <v>14</v>
      </c>
      <c r="Z31" s="128"/>
      <c r="AA31" s="129"/>
      <c r="AB31" s="161">
        <v>14</v>
      </c>
      <c r="AC31" s="128"/>
      <c r="AD31" s="129"/>
      <c r="AE31" s="161">
        <v>14</v>
      </c>
      <c r="AF31" s="128"/>
      <c r="AG31" s="129"/>
      <c r="AH31" s="161">
        <v>14</v>
      </c>
      <c r="AI31" s="128"/>
      <c r="AJ31" s="129"/>
      <c r="AK31" s="155"/>
      <c r="AL31" s="163"/>
      <c r="AM31" s="181"/>
    </row>
    <row r="32" spans="1:39" x14ac:dyDescent="0.2">
      <c r="A32" s="181"/>
      <c r="B32" s="155"/>
      <c r="C32" s="155"/>
      <c r="D32" s="161">
        <v>15</v>
      </c>
      <c r="E32" s="131"/>
      <c r="F32" s="130"/>
      <c r="G32" s="161">
        <v>15</v>
      </c>
      <c r="H32" s="131"/>
      <c r="I32" s="130"/>
      <c r="J32" s="161">
        <v>15</v>
      </c>
      <c r="K32" s="131"/>
      <c r="L32" s="130"/>
      <c r="M32" s="161">
        <v>15</v>
      </c>
      <c r="N32" s="131"/>
      <c r="O32" s="130"/>
      <c r="P32" s="161">
        <v>15</v>
      </c>
      <c r="Q32" s="131"/>
      <c r="R32" s="130"/>
      <c r="S32" s="161">
        <v>15</v>
      </c>
      <c r="T32" s="131"/>
      <c r="U32" s="130"/>
      <c r="V32" s="161">
        <v>15</v>
      </c>
      <c r="W32" s="131"/>
      <c r="X32" s="130"/>
      <c r="Y32" s="161">
        <v>15</v>
      </c>
      <c r="Z32" s="131"/>
      <c r="AA32" s="130"/>
      <c r="AB32" s="161">
        <v>15</v>
      </c>
      <c r="AC32" s="131"/>
      <c r="AD32" s="130"/>
      <c r="AE32" s="161">
        <v>15</v>
      </c>
      <c r="AF32" s="131"/>
      <c r="AG32" s="130"/>
      <c r="AH32" s="161">
        <v>15</v>
      </c>
      <c r="AI32" s="131"/>
      <c r="AJ32" s="130"/>
      <c r="AK32" s="155"/>
      <c r="AL32" s="163"/>
      <c r="AM32" s="181"/>
    </row>
    <row r="33" spans="1:39" x14ac:dyDescent="0.2">
      <c r="A33" s="181"/>
      <c r="B33" s="155"/>
      <c r="C33" s="155"/>
      <c r="D33" s="161">
        <v>16</v>
      </c>
      <c r="E33" s="128"/>
      <c r="F33" s="129"/>
      <c r="G33" s="161">
        <v>16</v>
      </c>
      <c r="H33" s="128"/>
      <c r="I33" s="129"/>
      <c r="J33" s="161">
        <v>16</v>
      </c>
      <c r="K33" s="128"/>
      <c r="L33" s="129"/>
      <c r="M33" s="161">
        <v>16</v>
      </c>
      <c r="N33" s="128"/>
      <c r="O33" s="129"/>
      <c r="P33" s="161">
        <v>16</v>
      </c>
      <c r="Q33" s="128"/>
      <c r="R33" s="129"/>
      <c r="S33" s="161">
        <v>16</v>
      </c>
      <c r="T33" s="128"/>
      <c r="U33" s="129"/>
      <c r="V33" s="161">
        <v>16</v>
      </c>
      <c r="W33" s="128"/>
      <c r="X33" s="129"/>
      <c r="Y33" s="161">
        <v>16</v>
      </c>
      <c r="Z33" s="128"/>
      <c r="AA33" s="129"/>
      <c r="AB33" s="161">
        <v>16</v>
      </c>
      <c r="AC33" s="128"/>
      <c r="AD33" s="129"/>
      <c r="AE33" s="161">
        <v>16</v>
      </c>
      <c r="AF33" s="128"/>
      <c r="AG33" s="129"/>
      <c r="AH33" s="161">
        <v>16</v>
      </c>
      <c r="AI33" s="128"/>
      <c r="AJ33" s="129"/>
      <c r="AK33" s="155"/>
      <c r="AL33" s="163"/>
      <c r="AM33" s="181"/>
    </row>
    <row r="34" spans="1:39" x14ac:dyDescent="0.2">
      <c r="A34" s="181"/>
      <c r="B34" s="155"/>
      <c r="C34" s="155"/>
      <c r="D34" s="161">
        <v>17</v>
      </c>
      <c r="E34" s="131"/>
      <c r="F34" s="130"/>
      <c r="G34" s="161">
        <v>17</v>
      </c>
      <c r="H34" s="131"/>
      <c r="I34" s="130"/>
      <c r="J34" s="161">
        <v>17</v>
      </c>
      <c r="K34" s="131"/>
      <c r="L34" s="130"/>
      <c r="M34" s="161">
        <v>17</v>
      </c>
      <c r="N34" s="131"/>
      <c r="O34" s="130"/>
      <c r="P34" s="161">
        <v>17</v>
      </c>
      <c r="Q34" s="131"/>
      <c r="R34" s="130"/>
      <c r="S34" s="161">
        <v>17</v>
      </c>
      <c r="T34" s="131"/>
      <c r="U34" s="130"/>
      <c r="V34" s="161">
        <v>17</v>
      </c>
      <c r="W34" s="131"/>
      <c r="X34" s="130"/>
      <c r="Y34" s="161">
        <v>17</v>
      </c>
      <c r="Z34" s="131"/>
      <c r="AA34" s="130"/>
      <c r="AB34" s="161">
        <v>17</v>
      </c>
      <c r="AC34" s="131"/>
      <c r="AD34" s="130"/>
      <c r="AE34" s="161">
        <v>17</v>
      </c>
      <c r="AF34" s="131"/>
      <c r="AG34" s="130"/>
      <c r="AH34" s="161">
        <v>17</v>
      </c>
      <c r="AI34" s="131"/>
      <c r="AJ34" s="130"/>
      <c r="AK34" s="155"/>
      <c r="AL34" s="163"/>
      <c r="AM34" s="181"/>
    </row>
    <row r="35" spans="1:39" x14ac:dyDescent="0.2">
      <c r="A35" s="181"/>
      <c r="B35" s="155"/>
      <c r="C35" s="155"/>
      <c r="D35" s="161">
        <v>18</v>
      </c>
      <c r="E35" s="128"/>
      <c r="F35" s="129"/>
      <c r="G35" s="161">
        <v>18</v>
      </c>
      <c r="H35" s="128"/>
      <c r="I35" s="129"/>
      <c r="J35" s="161">
        <v>18</v>
      </c>
      <c r="K35" s="128"/>
      <c r="L35" s="129"/>
      <c r="M35" s="161">
        <v>18</v>
      </c>
      <c r="N35" s="128"/>
      <c r="O35" s="129"/>
      <c r="P35" s="161">
        <v>18</v>
      </c>
      <c r="Q35" s="128"/>
      <c r="R35" s="129"/>
      <c r="S35" s="161">
        <v>18</v>
      </c>
      <c r="T35" s="128"/>
      <c r="U35" s="129"/>
      <c r="V35" s="161">
        <v>18</v>
      </c>
      <c r="W35" s="128"/>
      <c r="X35" s="129"/>
      <c r="Y35" s="161">
        <v>18</v>
      </c>
      <c r="Z35" s="128"/>
      <c r="AA35" s="129"/>
      <c r="AB35" s="161">
        <v>18</v>
      </c>
      <c r="AC35" s="128"/>
      <c r="AD35" s="129"/>
      <c r="AE35" s="161">
        <v>18</v>
      </c>
      <c r="AF35" s="128"/>
      <c r="AG35" s="129"/>
      <c r="AH35" s="161">
        <v>18</v>
      </c>
      <c r="AI35" s="128"/>
      <c r="AJ35" s="129"/>
      <c r="AK35" s="155"/>
      <c r="AL35" s="163"/>
      <c r="AM35" s="181"/>
    </row>
    <row r="36" spans="1:39" x14ac:dyDescent="0.2">
      <c r="A36" s="181"/>
      <c r="B36" s="155"/>
      <c r="C36" s="155"/>
      <c r="D36" s="161">
        <v>19</v>
      </c>
      <c r="E36" s="131"/>
      <c r="F36" s="130"/>
      <c r="G36" s="161">
        <v>19</v>
      </c>
      <c r="H36" s="131"/>
      <c r="I36" s="130"/>
      <c r="J36" s="161">
        <v>19</v>
      </c>
      <c r="K36" s="131"/>
      <c r="L36" s="130"/>
      <c r="M36" s="161">
        <v>19</v>
      </c>
      <c r="N36" s="131"/>
      <c r="O36" s="130"/>
      <c r="P36" s="161">
        <v>19</v>
      </c>
      <c r="Q36" s="131"/>
      <c r="R36" s="130"/>
      <c r="S36" s="161">
        <v>19</v>
      </c>
      <c r="T36" s="131"/>
      <c r="U36" s="130"/>
      <c r="V36" s="161">
        <v>19</v>
      </c>
      <c r="W36" s="131"/>
      <c r="X36" s="130"/>
      <c r="Y36" s="161">
        <v>19</v>
      </c>
      <c r="Z36" s="131"/>
      <c r="AA36" s="130"/>
      <c r="AB36" s="161">
        <v>19</v>
      </c>
      <c r="AC36" s="131"/>
      <c r="AD36" s="130"/>
      <c r="AE36" s="161">
        <v>19</v>
      </c>
      <c r="AF36" s="131"/>
      <c r="AG36" s="130"/>
      <c r="AH36" s="161">
        <v>19</v>
      </c>
      <c r="AI36" s="131"/>
      <c r="AJ36" s="130"/>
      <c r="AK36" s="155"/>
      <c r="AL36" s="163"/>
      <c r="AM36" s="181"/>
    </row>
    <row r="37" spans="1:39" x14ac:dyDescent="0.2">
      <c r="A37" s="181"/>
      <c r="B37" s="155"/>
      <c r="C37" s="155"/>
      <c r="D37" s="161">
        <v>20</v>
      </c>
      <c r="E37" s="128"/>
      <c r="F37" s="129"/>
      <c r="G37" s="161">
        <v>20</v>
      </c>
      <c r="H37" s="128"/>
      <c r="I37" s="129"/>
      <c r="J37" s="161">
        <v>20</v>
      </c>
      <c r="K37" s="128"/>
      <c r="L37" s="129"/>
      <c r="M37" s="161">
        <v>20</v>
      </c>
      <c r="N37" s="128"/>
      <c r="O37" s="129"/>
      <c r="P37" s="161">
        <v>20</v>
      </c>
      <c r="Q37" s="128"/>
      <c r="R37" s="129"/>
      <c r="S37" s="161">
        <v>20</v>
      </c>
      <c r="T37" s="128"/>
      <c r="U37" s="129"/>
      <c r="V37" s="161">
        <v>20</v>
      </c>
      <c r="W37" s="128"/>
      <c r="X37" s="129"/>
      <c r="Y37" s="161">
        <v>20</v>
      </c>
      <c r="Z37" s="128"/>
      <c r="AA37" s="129"/>
      <c r="AB37" s="161">
        <v>20</v>
      </c>
      <c r="AC37" s="128"/>
      <c r="AD37" s="129"/>
      <c r="AE37" s="161">
        <v>20</v>
      </c>
      <c r="AF37" s="128"/>
      <c r="AG37" s="129"/>
      <c r="AH37" s="161">
        <v>20</v>
      </c>
      <c r="AI37" s="128"/>
      <c r="AJ37" s="129"/>
      <c r="AK37" s="155"/>
      <c r="AL37" s="163"/>
      <c r="AM37" s="181"/>
    </row>
    <row r="38" spans="1:39" x14ac:dyDescent="0.2">
      <c r="A38" s="181"/>
      <c r="B38" s="155"/>
      <c r="C38" s="155"/>
      <c r="D38" s="161">
        <v>21</v>
      </c>
      <c r="E38" s="131"/>
      <c r="F38" s="130"/>
      <c r="G38" s="161">
        <v>21</v>
      </c>
      <c r="H38" s="131"/>
      <c r="I38" s="130"/>
      <c r="J38" s="161">
        <v>21</v>
      </c>
      <c r="K38" s="131"/>
      <c r="L38" s="130"/>
      <c r="M38" s="161">
        <v>21</v>
      </c>
      <c r="N38" s="131"/>
      <c r="O38" s="130"/>
      <c r="P38" s="161">
        <v>21</v>
      </c>
      <c r="Q38" s="131"/>
      <c r="R38" s="130"/>
      <c r="S38" s="161">
        <v>21</v>
      </c>
      <c r="T38" s="131"/>
      <c r="U38" s="130"/>
      <c r="V38" s="161">
        <v>21</v>
      </c>
      <c r="W38" s="131"/>
      <c r="X38" s="130"/>
      <c r="Y38" s="161">
        <v>21</v>
      </c>
      <c r="Z38" s="131"/>
      <c r="AA38" s="130"/>
      <c r="AB38" s="161">
        <v>21</v>
      </c>
      <c r="AC38" s="131"/>
      <c r="AD38" s="130"/>
      <c r="AE38" s="161">
        <v>21</v>
      </c>
      <c r="AF38" s="131"/>
      <c r="AG38" s="130"/>
      <c r="AH38" s="161">
        <v>21</v>
      </c>
      <c r="AI38" s="131"/>
      <c r="AJ38" s="130"/>
      <c r="AK38" s="155"/>
      <c r="AL38" s="163"/>
      <c r="AM38" s="181"/>
    </row>
    <row r="39" spans="1:39" x14ac:dyDescent="0.2">
      <c r="A39" s="181"/>
      <c r="B39" s="155"/>
      <c r="C39" s="155"/>
      <c r="D39" s="161" t="s">
        <v>107</v>
      </c>
      <c r="E39" s="128"/>
      <c r="F39" s="129"/>
      <c r="G39" s="161">
        <v>22</v>
      </c>
      <c r="H39" s="128"/>
      <c r="I39" s="129"/>
      <c r="J39" s="161">
        <v>22</v>
      </c>
      <c r="K39" s="128"/>
      <c r="L39" s="129"/>
      <c r="M39" s="161">
        <v>22</v>
      </c>
      <c r="N39" s="128"/>
      <c r="O39" s="129"/>
      <c r="P39" s="161">
        <v>22</v>
      </c>
      <c r="Q39" s="128"/>
      <c r="R39" s="129"/>
      <c r="S39" s="161">
        <v>22</v>
      </c>
      <c r="T39" s="128"/>
      <c r="U39" s="129"/>
      <c r="V39" s="161">
        <v>22</v>
      </c>
      <c r="W39" s="128"/>
      <c r="X39" s="129"/>
      <c r="Y39" s="161">
        <v>22</v>
      </c>
      <c r="Z39" s="128"/>
      <c r="AA39" s="129"/>
      <c r="AB39" s="161">
        <v>22</v>
      </c>
      <c r="AC39" s="128"/>
      <c r="AD39" s="129"/>
      <c r="AE39" s="161">
        <v>22</v>
      </c>
      <c r="AF39" s="128"/>
      <c r="AG39" s="129"/>
      <c r="AH39" s="161">
        <v>22</v>
      </c>
      <c r="AI39" s="128"/>
      <c r="AJ39" s="129"/>
      <c r="AK39" s="155"/>
      <c r="AL39" s="163"/>
      <c r="AM39" s="181"/>
    </row>
    <row r="40" spans="1:39" x14ac:dyDescent="0.2">
      <c r="A40" s="181"/>
      <c r="B40" s="155"/>
      <c r="C40" s="155"/>
      <c r="D40" s="161">
        <v>23</v>
      </c>
      <c r="E40" s="131"/>
      <c r="F40" s="130"/>
      <c r="G40" s="161">
        <v>23</v>
      </c>
      <c r="H40" s="131"/>
      <c r="I40" s="130"/>
      <c r="J40" s="161">
        <v>23</v>
      </c>
      <c r="K40" s="131"/>
      <c r="L40" s="130"/>
      <c r="M40" s="161">
        <v>23</v>
      </c>
      <c r="N40" s="131"/>
      <c r="O40" s="130"/>
      <c r="P40" s="161">
        <v>23</v>
      </c>
      <c r="Q40" s="131"/>
      <c r="R40" s="130"/>
      <c r="S40" s="161">
        <v>23</v>
      </c>
      <c r="T40" s="131"/>
      <c r="U40" s="130"/>
      <c r="V40" s="161">
        <v>23</v>
      </c>
      <c r="W40" s="131"/>
      <c r="X40" s="130"/>
      <c r="Y40" s="161">
        <v>23</v>
      </c>
      <c r="Z40" s="131"/>
      <c r="AA40" s="130"/>
      <c r="AB40" s="161">
        <v>23</v>
      </c>
      <c r="AC40" s="131"/>
      <c r="AD40" s="130"/>
      <c r="AE40" s="161">
        <v>23</v>
      </c>
      <c r="AF40" s="131"/>
      <c r="AG40" s="130"/>
      <c r="AH40" s="161">
        <v>23</v>
      </c>
      <c r="AI40" s="131"/>
      <c r="AJ40" s="130"/>
      <c r="AK40" s="155"/>
      <c r="AL40" s="163"/>
      <c r="AM40" s="181"/>
    </row>
    <row r="41" spans="1:39" x14ac:dyDescent="0.2">
      <c r="A41" s="181"/>
      <c r="B41" s="155"/>
      <c r="C41" s="155"/>
      <c r="D41" s="161">
        <v>24</v>
      </c>
      <c r="E41" s="128"/>
      <c r="F41" s="129"/>
      <c r="G41" s="161">
        <v>24</v>
      </c>
      <c r="H41" s="128"/>
      <c r="I41" s="129"/>
      <c r="J41" s="161">
        <v>24</v>
      </c>
      <c r="K41" s="128"/>
      <c r="L41" s="129"/>
      <c r="M41" s="161">
        <v>24</v>
      </c>
      <c r="N41" s="128"/>
      <c r="O41" s="129"/>
      <c r="P41" s="161">
        <v>24</v>
      </c>
      <c r="Q41" s="128"/>
      <c r="R41" s="129"/>
      <c r="S41" s="161">
        <v>24</v>
      </c>
      <c r="T41" s="128"/>
      <c r="U41" s="129"/>
      <c r="V41" s="161">
        <v>24</v>
      </c>
      <c r="W41" s="128"/>
      <c r="X41" s="129"/>
      <c r="Y41" s="161">
        <v>24</v>
      </c>
      <c r="Z41" s="128"/>
      <c r="AA41" s="129"/>
      <c r="AB41" s="161">
        <v>24</v>
      </c>
      <c r="AC41" s="128"/>
      <c r="AD41" s="129"/>
      <c r="AE41" s="161">
        <v>24</v>
      </c>
      <c r="AF41" s="128"/>
      <c r="AG41" s="129"/>
      <c r="AH41" s="161">
        <v>24</v>
      </c>
      <c r="AI41" s="128"/>
      <c r="AJ41" s="129"/>
      <c r="AK41" s="155"/>
      <c r="AL41" s="163"/>
      <c r="AM41" s="181"/>
    </row>
    <row r="42" spans="1:39" x14ac:dyDescent="0.2">
      <c r="A42" s="181"/>
      <c r="B42" s="155"/>
      <c r="C42" s="155"/>
      <c r="D42" s="161">
        <v>25</v>
      </c>
      <c r="E42" s="131"/>
      <c r="F42" s="130"/>
      <c r="G42" s="161">
        <v>25</v>
      </c>
      <c r="H42" s="131"/>
      <c r="I42" s="130"/>
      <c r="J42" s="161">
        <v>25</v>
      </c>
      <c r="K42" s="131"/>
      <c r="L42" s="130"/>
      <c r="M42" s="161">
        <v>25</v>
      </c>
      <c r="N42" s="131"/>
      <c r="O42" s="130"/>
      <c r="P42" s="161">
        <v>25</v>
      </c>
      <c r="Q42" s="131"/>
      <c r="R42" s="130"/>
      <c r="S42" s="161">
        <v>25</v>
      </c>
      <c r="T42" s="131"/>
      <c r="U42" s="130"/>
      <c r="V42" s="161">
        <v>25</v>
      </c>
      <c r="W42" s="131"/>
      <c r="X42" s="130"/>
      <c r="Y42" s="161">
        <v>25</v>
      </c>
      <c r="Z42" s="131"/>
      <c r="AA42" s="130"/>
      <c r="AB42" s="161">
        <v>25</v>
      </c>
      <c r="AC42" s="131"/>
      <c r="AD42" s="130"/>
      <c r="AE42" s="161">
        <v>25</v>
      </c>
      <c r="AF42" s="131"/>
      <c r="AG42" s="130"/>
      <c r="AH42" s="161">
        <v>25</v>
      </c>
      <c r="AI42" s="131"/>
      <c r="AJ42" s="130"/>
      <c r="AK42" s="155"/>
      <c r="AL42" s="163"/>
      <c r="AM42" s="181"/>
    </row>
    <row r="43" spans="1:39" x14ac:dyDescent="0.2">
      <c r="A43" s="181"/>
      <c r="B43" s="155"/>
      <c r="C43" s="155"/>
      <c r="D43" s="161">
        <v>26</v>
      </c>
      <c r="E43" s="128"/>
      <c r="F43" s="129"/>
      <c r="G43" s="161">
        <v>26</v>
      </c>
      <c r="H43" s="128"/>
      <c r="I43" s="129"/>
      <c r="J43" s="161">
        <v>26</v>
      </c>
      <c r="K43" s="128"/>
      <c r="L43" s="129"/>
      <c r="M43" s="161">
        <v>26</v>
      </c>
      <c r="N43" s="128"/>
      <c r="O43" s="129"/>
      <c r="P43" s="161">
        <v>26</v>
      </c>
      <c r="Q43" s="128"/>
      <c r="R43" s="129"/>
      <c r="S43" s="161">
        <v>26</v>
      </c>
      <c r="T43" s="128"/>
      <c r="U43" s="129"/>
      <c r="V43" s="161">
        <v>26</v>
      </c>
      <c r="W43" s="128"/>
      <c r="X43" s="129"/>
      <c r="Y43" s="161">
        <v>26</v>
      </c>
      <c r="Z43" s="128"/>
      <c r="AA43" s="129"/>
      <c r="AB43" s="161">
        <v>26</v>
      </c>
      <c r="AC43" s="128"/>
      <c r="AD43" s="129"/>
      <c r="AE43" s="161">
        <v>26</v>
      </c>
      <c r="AF43" s="128"/>
      <c r="AG43" s="129"/>
      <c r="AH43" s="161">
        <v>26</v>
      </c>
      <c r="AI43" s="128"/>
      <c r="AJ43" s="129"/>
      <c r="AK43" s="155"/>
      <c r="AL43" s="163"/>
      <c r="AM43" s="181"/>
    </row>
    <row r="44" spans="1:39" x14ac:dyDescent="0.2">
      <c r="A44" s="181"/>
      <c r="B44" s="155"/>
      <c r="C44" s="155"/>
      <c r="D44" s="161">
        <v>27</v>
      </c>
      <c r="E44" s="131"/>
      <c r="F44" s="130"/>
      <c r="G44" s="161">
        <v>27</v>
      </c>
      <c r="H44" s="131"/>
      <c r="I44" s="130"/>
      <c r="J44" s="161">
        <v>27</v>
      </c>
      <c r="K44" s="131"/>
      <c r="L44" s="130"/>
      <c r="M44" s="161">
        <v>27</v>
      </c>
      <c r="N44" s="131"/>
      <c r="O44" s="130"/>
      <c r="P44" s="161">
        <v>27</v>
      </c>
      <c r="Q44" s="131"/>
      <c r="R44" s="130"/>
      <c r="S44" s="161">
        <v>27</v>
      </c>
      <c r="T44" s="131"/>
      <c r="U44" s="130"/>
      <c r="V44" s="161">
        <v>27</v>
      </c>
      <c r="W44" s="131"/>
      <c r="X44" s="130"/>
      <c r="Y44" s="161">
        <v>27</v>
      </c>
      <c r="Z44" s="131"/>
      <c r="AA44" s="130"/>
      <c r="AB44" s="161">
        <v>27</v>
      </c>
      <c r="AC44" s="131"/>
      <c r="AD44" s="130"/>
      <c r="AE44" s="161">
        <v>27</v>
      </c>
      <c r="AF44" s="131"/>
      <c r="AG44" s="130"/>
      <c r="AH44" s="161">
        <v>27</v>
      </c>
      <c r="AI44" s="131"/>
      <c r="AJ44" s="130"/>
      <c r="AK44" s="155"/>
      <c r="AL44" s="163"/>
      <c r="AM44" s="181"/>
    </row>
    <row r="45" spans="1:39" x14ac:dyDescent="0.2">
      <c r="A45" s="181"/>
      <c r="B45" s="155"/>
      <c r="C45" s="155"/>
      <c r="D45" s="161">
        <v>28</v>
      </c>
      <c r="E45" s="128"/>
      <c r="F45" s="129"/>
      <c r="G45" s="161">
        <v>28</v>
      </c>
      <c r="H45" s="128"/>
      <c r="I45" s="129"/>
      <c r="J45" s="161">
        <v>28</v>
      </c>
      <c r="K45" s="128"/>
      <c r="L45" s="129"/>
      <c r="M45" s="161">
        <v>28</v>
      </c>
      <c r="N45" s="128"/>
      <c r="O45" s="129"/>
      <c r="P45" s="161">
        <v>28</v>
      </c>
      <c r="Q45" s="128"/>
      <c r="R45" s="129"/>
      <c r="S45" s="161">
        <v>28</v>
      </c>
      <c r="T45" s="128"/>
      <c r="U45" s="129"/>
      <c r="V45" s="161">
        <v>28</v>
      </c>
      <c r="W45" s="128"/>
      <c r="X45" s="129"/>
      <c r="Y45" s="161">
        <v>28</v>
      </c>
      <c r="Z45" s="128"/>
      <c r="AA45" s="129"/>
      <c r="AB45" s="161">
        <v>28</v>
      </c>
      <c r="AC45" s="128"/>
      <c r="AD45" s="129"/>
      <c r="AE45" s="161">
        <v>28</v>
      </c>
      <c r="AF45" s="128"/>
      <c r="AG45" s="129"/>
      <c r="AH45" s="161">
        <v>28</v>
      </c>
      <c r="AI45" s="128"/>
      <c r="AJ45" s="129"/>
      <c r="AK45" s="155"/>
      <c r="AL45" s="163"/>
      <c r="AM45" s="181"/>
    </row>
    <row r="46" spans="1:39" x14ac:dyDescent="0.2">
      <c r="A46" s="181"/>
      <c r="B46" s="155"/>
      <c r="C46" s="155"/>
      <c r="D46" s="161">
        <v>29</v>
      </c>
      <c r="E46" s="131"/>
      <c r="F46" s="130"/>
      <c r="G46" s="161">
        <v>29</v>
      </c>
      <c r="H46" s="131"/>
      <c r="I46" s="130"/>
      <c r="J46" s="161">
        <v>29</v>
      </c>
      <c r="K46" s="131"/>
      <c r="L46" s="130"/>
      <c r="M46" s="161">
        <v>29</v>
      </c>
      <c r="N46" s="131"/>
      <c r="O46" s="130"/>
      <c r="P46" s="161">
        <v>29</v>
      </c>
      <c r="Q46" s="131"/>
      <c r="R46" s="130"/>
      <c r="S46" s="161">
        <v>29</v>
      </c>
      <c r="T46" s="131"/>
      <c r="U46" s="130"/>
      <c r="V46" s="161">
        <v>29</v>
      </c>
      <c r="W46" s="131"/>
      <c r="X46" s="130"/>
      <c r="Y46" s="161">
        <v>29</v>
      </c>
      <c r="Z46" s="131"/>
      <c r="AA46" s="130"/>
      <c r="AB46" s="161">
        <v>29</v>
      </c>
      <c r="AC46" s="131"/>
      <c r="AD46" s="130"/>
      <c r="AE46" s="161">
        <v>29</v>
      </c>
      <c r="AF46" s="131"/>
      <c r="AG46" s="130"/>
      <c r="AH46" s="161">
        <v>29</v>
      </c>
      <c r="AI46" s="131"/>
      <c r="AJ46" s="130"/>
      <c r="AK46" s="155"/>
      <c r="AL46" s="163"/>
      <c r="AM46" s="181"/>
    </row>
    <row r="47" spans="1:39" x14ac:dyDescent="0.2">
      <c r="A47" s="181"/>
      <c r="B47" s="155"/>
      <c r="C47" s="155"/>
      <c r="D47" s="161">
        <v>30</v>
      </c>
      <c r="E47" s="128"/>
      <c r="F47" s="129"/>
      <c r="G47" s="161">
        <v>30</v>
      </c>
      <c r="H47" s="128"/>
      <c r="I47" s="129"/>
      <c r="J47" s="161">
        <v>30</v>
      </c>
      <c r="K47" s="128"/>
      <c r="L47" s="129"/>
      <c r="M47" s="161">
        <v>30</v>
      </c>
      <c r="N47" s="128"/>
      <c r="O47" s="129"/>
      <c r="P47" s="161">
        <v>30</v>
      </c>
      <c r="Q47" s="128"/>
      <c r="R47" s="129"/>
      <c r="S47" s="161">
        <v>30</v>
      </c>
      <c r="T47" s="128"/>
      <c r="U47" s="129"/>
      <c r="V47" s="161">
        <v>30</v>
      </c>
      <c r="W47" s="128"/>
      <c r="X47" s="129"/>
      <c r="Y47" s="161">
        <v>30</v>
      </c>
      <c r="Z47" s="128"/>
      <c r="AA47" s="129"/>
      <c r="AB47" s="161">
        <v>30</v>
      </c>
      <c r="AC47" s="128"/>
      <c r="AD47" s="129"/>
      <c r="AE47" s="161">
        <v>30</v>
      </c>
      <c r="AF47" s="128"/>
      <c r="AG47" s="129"/>
      <c r="AH47" s="161">
        <v>30</v>
      </c>
      <c r="AI47" s="128"/>
      <c r="AJ47" s="129"/>
      <c r="AK47" s="155"/>
      <c r="AL47" s="163"/>
      <c r="AM47" s="181"/>
    </row>
    <row r="48" spans="1:39" x14ac:dyDescent="0.2">
      <c r="A48" s="181"/>
      <c r="B48" s="155"/>
      <c r="C48" s="155"/>
      <c r="D48" s="161">
        <v>31</v>
      </c>
      <c r="E48" s="131"/>
      <c r="F48" s="130"/>
      <c r="G48" s="161">
        <v>31</v>
      </c>
      <c r="H48" s="131"/>
      <c r="I48" s="130"/>
      <c r="J48" s="161">
        <v>31</v>
      </c>
      <c r="K48" s="131"/>
      <c r="L48" s="130"/>
      <c r="M48" s="161">
        <v>31</v>
      </c>
      <c r="N48" s="131"/>
      <c r="O48" s="130"/>
      <c r="P48" s="161">
        <v>31</v>
      </c>
      <c r="Q48" s="131"/>
      <c r="R48" s="130"/>
      <c r="S48" s="161">
        <v>31</v>
      </c>
      <c r="T48" s="131"/>
      <c r="U48" s="130"/>
      <c r="V48" s="161">
        <v>31</v>
      </c>
      <c r="W48" s="131"/>
      <c r="X48" s="130"/>
      <c r="Y48" s="161">
        <v>31</v>
      </c>
      <c r="Z48" s="131"/>
      <c r="AA48" s="130"/>
      <c r="AB48" s="161">
        <v>31</v>
      </c>
      <c r="AC48" s="131"/>
      <c r="AD48" s="130"/>
      <c r="AE48" s="161">
        <v>31</v>
      </c>
      <c r="AF48" s="131"/>
      <c r="AG48" s="130"/>
      <c r="AH48" s="161">
        <v>31</v>
      </c>
      <c r="AI48" s="131"/>
      <c r="AJ48" s="130"/>
      <c r="AK48" s="155"/>
      <c r="AL48" s="163"/>
      <c r="AM48" s="181"/>
    </row>
    <row r="49" spans="1:39" x14ac:dyDescent="0.2">
      <c r="A49" s="181"/>
      <c r="B49" s="155"/>
      <c r="C49" s="155"/>
      <c r="D49" s="161">
        <v>32</v>
      </c>
      <c r="E49" s="128"/>
      <c r="F49" s="129"/>
      <c r="G49" s="161">
        <v>32</v>
      </c>
      <c r="H49" s="128"/>
      <c r="I49" s="129"/>
      <c r="J49" s="161">
        <v>32</v>
      </c>
      <c r="K49" s="128"/>
      <c r="L49" s="129"/>
      <c r="M49" s="161">
        <v>32</v>
      </c>
      <c r="N49" s="128"/>
      <c r="O49" s="129"/>
      <c r="P49" s="161">
        <v>32</v>
      </c>
      <c r="Q49" s="128"/>
      <c r="R49" s="129"/>
      <c r="S49" s="161">
        <v>32</v>
      </c>
      <c r="T49" s="128"/>
      <c r="U49" s="129"/>
      <c r="V49" s="161">
        <v>32</v>
      </c>
      <c r="W49" s="128"/>
      <c r="X49" s="129"/>
      <c r="Y49" s="161">
        <v>32</v>
      </c>
      <c r="Z49" s="128"/>
      <c r="AA49" s="129"/>
      <c r="AB49" s="161">
        <v>32</v>
      </c>
      <c r="AC49" s="128"/>
      <c r="AD49" s="129"/>
      <c r="AE49" s="161">
        <v>32</v>
      </c>
      <c r="AF49" s="128"/>
      <c r="AG49" s="129"/>
      <c r="AH49" s="161">
        <v>32</v>
      </c>
      <c r="AI49" s="128"/>
      <c r="AJ49" s="129"/>
      <c r="AK49" s="155"/>
      <c r="AL49" s="163"/>
      <c r="AM49" s="181"/>
    </row>
    <row r="50" spans="1:39" x14ac:dyDescent="0.2">
      <c r="A50" s="181"/>
      <c r="B50" s="155"/>
      <c r="C50" s="155"/>
      <c r="D50" s="161">
        <v>33</v>
      </c>
      <c r="E50" s="131"/>
      <c r="F50" s="130"/>
      <c r="G50" s="161">
        <v>33</v>
      </c>
      <c r="H50" s="131"/>
      <c r="I50" s="130"/>
      <c r="J50" s="161">
        <v>33</v>
      </c>
      <c r="K50" s="131"/>
      <c r="L50" s="130"/>
      <c r="M50" s="161">
        <v>33</v>
      </c>
      <c r="N50" s="131"/>
      <c r="O50" s="130"/>
      <c r="P50" s="161">
        <v>33</v>
      </c>
      <c r="Q50" s="131"/>
      <c r="R50" s="130"/>
      <c r="S50" s="161">
        <v>33</v>
      </c>
      <c r="T50" s="131"/>
      <c r="U50" s="130"/>
      <c r="V50" s="161">
        <v>33</v>
      </c>
      <c r="W50" s="131"/>
      <c r="X50" s="130"/>
      <c r="Y50" s="161">
        <v>33</v>
      </c>
      <c r="Z50" s="131"/>
      <c r="AA50" s="130"/>
      <c r="AB50" s="161">
        <v>33</v>
      </c>
      <c r="AC50" s="131"/>
      <c r="AD50" s="130"/>
      <c r="AE50" s="161">
        <v>33</v>
      </c>
      <c r="AF50" s="131"/>
      <c r="AG50" s="130"/>
      <c r="AH50" s="161">
        <v>33</v>
      </c>
      <c r="AI50" s="131"/>
      <c r="AJ50" s="130"/>
      <c r="AK50" s="155"/>
      <c r="AL50" s="163"/>
      <c r="AM50" s="181"/>
    </row>
    <row r="51" spans="1:39" x14ac:dyDescent="0.2">
      <c r="A51" s="181"/>
      <c r="B51" s="155"/>
      <c r="C51" s="155"/>
      <c r="D51" s="161">
        <v>34</v>
      </c>
      <c r="E51" s="128"/>
      <c r="F51" s="129"/>
      <c r="G51" s="161">
        <v>34</v>
      </c>
      <c r="H51" s="128"/>
      <c r="I51" s="129"/>
      <c r="J51" s="161">
        <v>34</v>
      </c>
      <c r="K51" s="128"/>
      <c r="L51" s="129"/>
      <c r="M51" s="161">
        <v>34</v>
      </c>
      <c r="N51" s="128"/>
      <c r="O51" s="129"/>
      <c r="P51" s="161">
        <v>34</v>
      </c>
      <c r="Q51" s="128"/>
      <c r="R51" s="129"/>
      <c r="S51" s="161">
        <v>34</v>
      </c>
      <c r="T51" s="128"/>
      <c r="U51" s="129"/>
      <c r="V51" s="161">
        <v>34</v>
      </c>
      <c r="W51" s="128"/>
      <c r="X51" s="129"/>
      <c r="Y51" s="161">
        <v>34</v>
      </c>
      <c r="Z51" s="128"/>
      <c r="AA51" s="129"/>
      <c r="AB51" s="161">
        <v>34</v>
      </c>
      <c r="AC51" s="128"/>
      <c r="AD51" s="129"/>
      <c r="AE51" s="161">
        <v>34</v>
      </c>
      <c r="AF51" s="128"/>
      <c r="AG51" s="129"/>
      <c r="AH51" s="161">
        <v>34</v>
      </c>
      <c r="AI51" s="128"/>
      <c r="AJ51" s="129"/>
      <c r="AK51" s="155"/>
      <c r="AL51" s="163"/>
      <c r="AM51" s="181"/>
    </row>
    <row r="52" spans="1:39" x14ac:dyDescent="0.2">
      <c r="A52" s="181"/>
      <c r="B52" s="155"/>
      <c r="C52" s="155"/>
      <c r="D52" s="161">
        <v>35</v>
      </c>
      <c r="E52" s="131"/>
      <c r="F52" s="130"/>
      <c r="G52" s="161">
        <v>35</v>
      </c>
      <c r="H52" s="131"/>
      <c r="I52" s="130"/>
      <c r="J52" s="161">
        <v>35</v>
      </c>
      <c r="K52" s="131"/>
      <c r="L52" s="130"/>
      <c r="M52" s="161">
        <v>35</v>
      </c>
      <c r="N52" s="131"/>
      <c r="O52" s="130"/>
      <c r="P52" s="161">
        <v>35</v>
      </c>
      <c r="Q52" s="131"/>
      <c r="R52" s="130"/>
      <c r="S52" s="161">
        <v>35</v>
      </c>
      <c r="T52" s="131"/>
      <c r="U52" s="130"/>
      <c r="V52" s="161">
        <v>35</v>
      </c>
      <c r="W52" s="131"/>
      <c r="X52" s="130"/>
      <c r="Y52" s="161">
        <v>35</v>
      </c>
      <c r="Z52" s="131"/>
      <c r="AA52" s="130"/>
      <c r="AB52" s="161">
        <v>35</v>
      </c>
      <c r="AC52" s="131"/>
      <c r="AD52" s="130"/>
      <c r="AE52" s="161">
        <v>35</v>
      </c>
      <c r="AF52" s="131"/>
      <c r="AG52" s="130"/>
      <c r="AH52" s="161">
        <v>35</v>
      </c>
      <c r="AI52" s="131"/>
      <c r="AJ52" s="130"/>
      <c r="AK52" s="155"/>
      <c r="AL52" s="163"/>
      <c r="AM52" s="181"/>
    </row>
    <row r="53" spans="1:39" x14ac:dyDescent="0.2">
      <c r="A53" s="181"/>
      <c r="B53" s="155"/>
      <c r="C53" s="155"/>
      <c r="D53" s="161">
        <v>36</v>
      </c>
      <c r="E53" s="128"/>
      <c r="F53" s="129"/>
      <c r="G53" s="161">
        <v>36</v>
      </c>
      <c r="H53" s="128"/>
      <c r="I53" s="129"/>
      <c r="J53" s="161">
        <v>36</v>
      </c>
      <c r="K53" s="128"/>
      <c r="L53" s="129"/>
      <c r="M53" s="161">
        <v>36</v>
      </c>
      <c r="N53" s="128"/>
      <c r="O53" s="129"/>
      <c r="P53" s="161">
        <v>36</v>
      </c>
      <c r="Q53" s="128"/>
      <c r="R53" s="129"/>
      <c r="S53" s="161">
        <v>36</v>
      </c>
      <c r="T53" s="128"/>
      <c r="U53" s="129"/>
      <c r="V53" s="161">
        <v>36</v>
      </c>
      <c r="W53" s="128"/>
      <c r="X53" s="129"/>
      <c r="Y53" s="161">
        <v>36</v>
      </c>
      <c r="Z53" s="128"/>
      <c r="AA53" s="129"/>
      <c r="AB53" s="161">
        <v>36</v>
      </c>
      <c r="AC53" s="128"/>
      <c r="AD53" s="129"/>
      <c r="AE53" s="161">
        <v>36</v>
      </c>
      <c r="AF53" s="128"/>
      <c r="AG53" s="129"/>
      <c r="AH53" s="161">
        <v>36</v>
      </c>
      <c r="AI53" s="128"/>
      <c r="AJ53" s="129"/>
      <c r="AK53" s="155"/>
      <c r="AL53" s="163"/>
      <c r="AM53" s="181"/>
    </row>
    <row r="54" spans="1:39" x14ac:dyDescent="0.2">
      <c r="A54" s="181"/>
      <c r="B54" s="155"/>
      <c r="C54" s="155"/>
      <c r="D54" s="161">
        <v>37</v>
      </c>
      <c r="E54" s="131"/>
      <c r="F54" s="130"/>
      <c r="G54" s="161">
        <v>37</v>
      </c>
      <c r="H54" s="131"/>
      <c r="I54" s="130"/>
      <c r="J54" s="161">
        <v>37</v>
      </c>
      <c r="K54" s="131"/>
      <c r="L54" s="130"/>
      <c r="M54" s="161">
        <v>37</v>
      </c>
      <c r="N54" s="131"/>
      <c r="O54" s="130"/>
      <c r="P54" s="161">
        <v>37</v>
      </c>
      <c r="Q54" s="131"/>
      <c r="R54" s="130"/>
      <c r="S54" s="161">
        <v>37</v>
      </c>
      <c r="T54" s="131"/>
      <c r="U54" s="130"/>
      <c r="V54" s="161">
        <v>37</v>
      </c>
      <c r="W54" s="131"/>
      <c r="X54" s="130"/>
      <c r="Y54" s="161">
        <v>37</v>
      </c>
      <c r="Z54" s="131"/>
      <c r="AA54" s="130"/>
      <c r="AB54" s="161">
        <v>37</v>
      </c>
      <c r="AC54" s="131"/>
      <c r="AD54" s="130"/>
      <c r="AE54" s="161">
        <v>37</v>
      </c>
      <c r="AF54" s="131"/>
      <c r="AG54" s="130"/>
      <c r="AH54" s="161">
        <v>37</v>
      </c>
      <c r="AI54" s="131"/>
      <c r="AJ54" s="130"/>
      <c r="AK54" s="155"/>
      <c r="AL54" s="163"/>
      <c r="AM54" s="181"/>
    </row>
    <row r="55" spans="1:39" x14ac:dyDescent="0.2">
      <c r="A55" s="181"/>
      <c r="B55" s="155"/>
      <c r="C55" s="155"/>
      <c r="D55" s="161">
        <v>38</v>
      </c>
      <c r="E55" s="128"/>
      <c r="F55" s="129"/>
      <c r="G55" s="161">
        <v>38</v>
      </c>
      <c r="H55" s="128"/>
      <c r="I55" s="129"/>
      <c r="J55" s="161">
        <v>38</v>
      </c>
      <c r="K55" s="128"/>
      <c r="L55" s="129"/>
      <c r="M55" s="161">
        <v>38</v>
      </c>
      <c r="N55" s="128"/>
      <c r="O55" s="129"/>
      <c r="P55" s="161">
        <v>38</v>
      </c>
      <c r="Q55" s="128"/>
      <c r="R55" s="129"/>
      <c r="S55" s="161">
        <v>38</v>
      </c>
      <c r="T55" s="128"/>
      <c r="U55" s="129"/>
      <c r="V55" s="161">
        <v>38</v>
      </c>
      <c r="W55" s="128"/>
      <c r="X55" s="129"/>
      <c r="Y55" s="161">
        <v>38</v>
      </c>
      <c r="Z55" s="128"/>
      <c r="AA55" s="129"/>
      <c r="AB55" s="161">
        <v>38</v>
      </c>
      <c r="AC55" s="128"/>
      <c r="AD55" s="129"/>
      <c r="AE55" s="161">
        <v>38</v>
      </c>
      <c r="AF55" s="128"/>
      <c r="AG55" s="129"/>
      <c r="AH55" s="161">
        <v>38</v>
      </c>
      <c r="AI55" s="128"/>
      <c r="AJ55" s="129"/>
      <c r="AK55" s="155"/>
      <c r="AL55" s="163"/>
      <c r="AM55" s="181"/>
    </row>
    <row r="56" spans="1:39" x14ac:dyDescent="0.2">
      <c r="A56" s="181"/>
      <c r="B56" s="155"/>
      <c r="C56" s="155"/>
      <c r="D56" s="161">
        <v>39</v>
      </c>
      <c r="E56" s="131"/>
      <c r="F56" s="130"/>
      <c r="G56" s="161">
        <v>39</v>
      </c>
      <c r="H56" s="131"/>
      <c r="I56" s="130"/>
      <c r="J56" s="161">
        <v>39</v>
      </c>
      <c r="K56" s="131"/>
      <c r="L56" s="130"/>
      <c r="M56" s="161">
        <v>39</v>
      </c>
      <c r="N56" s="131"/>
      <c r="O56" s="130"/>
      <c r="P56" s="161">
        <v>39</v>
      </c>
      <c r="Q56" s="131"/>
      <c r="R56" s="130"/>
      <c r="S56" s="161">
        <v>39</v>
      </c>
      <c r="T56" s="131"/>
      <c r="U56" s="130"/>
      <c r="V56" s="161">
        <v>39</v>
      </c>
      <c r="W56" s="131"/>
      <c r="X56" s="130"/>
      <c r="Y56" s="161">
        <v>39</v>
      </c>
      <c r="Z56" s="131"/>
      <c r="AA56" s="130"/>
      <c r="AB56" s="161">
        <v>39</v>
      </c>
      <c r="AC56" s="131"/>
      <c r="AD56" s="130"/>
      <c r="AE56" s="161">
        <v>39</v>
      </c>
      <c r="AF56" s="131"/>
      <c r="AG56" s="130"/>
      <c r="AH56" s="161">
        <v>39</v>
      </c>
      <c r="AI56" s="131"/>
      <c r="AJ56" s="130"/>
      <c r="AK56" s="155"/>
      <c r="AL56" s="163"/>
      <c r="AM56" s="181"/>
    </row>
    <row r="57" spans="1:39" x14ac:dyDescent="0.2">
      <c r="A57" s="181"/>
      <c r="B57" s="155"/>
      <c r="C57" s="155"/>
      <c r="D57" s="161">
        <v>40</v>
      </c>
      <c r="E57" s="128"/>
      <c r="F57" s="129"/>
      <c r="G57" s="161">
        <v>40</v>
      </c>
      <c r="H57" s="128"/>
      <c r="I57" s="129"/>
      <c r="J57" s="161">
        <v>40</v>
      </c>
      <c r="K57" s="128"/>
      <c r="L57" s="129"/>
      <c r="M57" s="161">
        <v>40</v>
      </c>
      <c r="N57" s="128"/>
      <c r="O57" s="129"/>
      <c r="P57" s="161">
        <v>40</v>
      </c>
      <c r="Q57" s="128"/>
      <c r="R57" s="129"/>
      <c r="S57" s="161">
        <v>40</v>
      </c>
      <c r="T57" s="128"/>
      <c r="U57" s="129"/>
      <c r="V57" s="161">
        <v>40</v>
      </c>
      <c r="W57" s="128"/>
      <c r="X57" s="129"/>
      <c r="Y57" s="161">
        <v>40</v>
      </c>
      <c r="Z57" s="128"/>
      <c r="AA57" s="129"/>
      <c r="AB57" s="161">
        <v>40</v>
      </c>
      <c r="AC57" s="128"/>
      <c r="AD57" s="129"/>
      <c r="AE57" s="161">
        <v>40</v>
      </c>
      <c r="AF57" s="128"/>
      <c r="AG57" s="129"/>
      <c r="AH57" s="161">
        <v>40</v>
      </c>
      <c r="AI57" s="128"/>
      <c r="AJ57" s="129"/>
      <c r="AK57" s="155"/>
      <c r="AL57" s="163"/>
      <c r="AM57" s="181"/>
    </row>
    <row r="58" spans="1:39" x14ac:dyDescent="0.2">
      <c r="A58" s="181"/>
      <c r="B58" s="155"/>
      <c r="C58" s="155"/>
      <c r="D58" s="161">
        <v>41</v>
      </c>
      <c r="E58" s="131"/>
      <c r="F58" s="130"/>
      <c r="G58" s="161">
        <v>41</v>
      </c>
      <c r="H58" s="131"/>
      <c r="I58" s="130"/>
      <c r="J58" s="161">
        <v>41</v>
      </c>
      <c r="K58" s="131"/>
      <c r="L58" s="130"/>
      <c r="M58" s="161">
        <v>41</v>
      </c>
      <c r="N58" s="131"/>
      <c r="O58" s="130"/>
      <c r="P58" s="161">
        <v>41</v>
      </c>
      <c r="Q58" s="131"/>
      <c r="R58" s="130"/>
      <c r="S58" s="161">
        <v>41</v>
      </c>
      <c r="T58" s="131"/>
      <c r="U58" s="130"/>
      <c r="V58" s="161">
        <v>41</v>
      </c>
      <c r="W58" s="131"/>
      <c r="X58" s="130"/>
      <c r="Y58" s="161">
        <v>41</v>
      </c>
      <c r="Z58" s="131"/>
      <c r="AA58" s="130"/>
      <c r="AB58" s="161">
        <v>41</v>
      </c>
      <c r="AC58" s="131"/>
      <c r="AD58" s="130"/>
      <c r="AE58" s="161">
        <v>41</v>
      </c>
      <c r="AF58" s="131"/>
      <c r="AG58" s="130"/>
      <c r="AH58" s="161">
        <v>41</v>
      </c>
      <c r="AI58" s="131"/>
      <c r="AJ58" s="130"/>
      <c r="AK58" s="155"/>
      <c r="AL58" s="163"/>
      <c r="AM58" s="181"/>
    </row>
    <row r="59" spans="1:39" x14ac:dyDescent="0.2">
      <c r="A59" s="181"/>
      <c r="B59" s="155"/>
      <c r="C59" s="155"/>
      <c r="D59" s="161">
        <v>42</v>
      </c>
      <c r="E59" s="128"/>
      <c r="F59" s="129"/>
      <c r="G59" s="161">
        <v>42</v>
      </c>
      <c r="H59" s="128"/>
      <c r="I59" s="129"/>
      <c r="J59" s="161">
        <v>42</v>
      </c>
      <c r="K59" s="128"/>
      <c r="L59" s="129"/>
      <c r="M59" s="161">
        <v>42</v>
      </c>
      <c r="N59" s="128"/>
      <c r="O59" s="129"/>
      <c r="P59" s="161">
        <v>42</v>
      </c>
      <c r="Q59" s="128"/>
      <c r="R59" s="129"/>
      <c r="S59" s="161">
        <v>42</v>
      </c>
      <c r="T59" s="128"/>
      <c r="U59" s="129"/>
      <c r="V59" s="161">
        <v>42</v>
      </c>
      <c r="W59" s="128"/>
      <c r="X59" s="129"/>
      <c r="Y59" s="161">
        <v>42</v>
      </c>
      <c r="Z59" s="128"/>
      <c r="AA59" s="129"/>
      <c r="AB59" s="161">
        <v>42</v>
      </c>
      <c r="AC59" s="128"/>
      <c r="AD59" s="129"/>
      <c r="AE59" s="161">
        <v>42</v>
      </c>
      <c r="AF59" s="128"/>
      <c r="AG59" s="129"/>
      <c r="AH59" s="161">
        <v>42</v>
      </c>
      <c r="AI59" s="128"/>
      <c r="AJ59" s="129"/>
      <c r="AK59" s="155"/>
      <c r="AL59" s="163"/>
      <c r="AM59" s="181"/>
    </row>
    <row r="60" spans="1:39" x14ac:dyDescent="0.2">
      <c r="A60" s="181"/>
      <c r="B60" s="155"/>
      <c r="C60" s="155"/>
      <c r="D60" s="161">
        <v>43</v>
      </c>
      <c r="E60" s="131"/>
      <c r="F60" s="130"/>
      <c r="G60" s="161">
        <v>43</v>
      </c>
      <c r="H60" s="131"/>
      <c r="I60" s="130"/>
      <c r="J60" s="161">
        <v>43</v>
      </c>
      <c r="K60" s="131"/>
      <c r="L60" s="130"/>
      <c r="M60" s="161">
        <v>43</v>
      </c>
      <c r="N60" s="131"/>
      <c r="O60" s="130"/>
      <c r="P60" s="161">
        <v>43</v>
      </c>
      <c r="Q60" s="131"/>
      <c r="R60" s="130"/>
      <c r="S60" s="161">
        <v>43</v>
      </c>
      <c r="T60" s="131"/>
      <c r="U60" s="130"/>
      <c r="V60" s="161">
        <v>43</v>
      </c>
      <c r="W60" s="131"/>
      <c r="X60" s="130"/>
      <c r="Y60" s="161">
        <v>43</v>
      </c>
      <c r="Z60" s="131"/>
      <c r="AA60" s="130"/>
      <c r="AB60" s="161">
        <v>43</v>
      </c>
      <c r="AC60" s="131"/>
      <c r="AD60" s="130"/>
      <c r="AE60" s="161">
        <v>43</v>
      </c>
      <c r="AF60" s="131"/>
      <c r="AG60" s="130"/>
      <c r="AH60" s="161">
        <v>43</v>
      </c>
      <c r="AI60" s="131"/>
      <c r="AJ60" s="130"/>
      <c r="AK60" s="155"/>
      <c r="AL60" s="163"/>
      <c r="AM60" s="181"/>
    </row>
    <row r="61" spans="1:39" x14ac:dyDescent="0.2">
      <c r="A61" s="181"/>
      <c r="B61" s="155"/>
      <c r="C61" s="155"/>
      <c r="D61" s="161">
        <v>44</v>
      </c>
      <c r="E61" s="128"/>
      <c r="F61" s="129"/>
      <c r="G61" s="161">
        <v>44</v>
      </c>
      <c r="H61" s="128"/>
      <c r="I61" s="129"/>
      <c r="J61" s="161">
        <v>44</v>
      </c>
      <c r="K61" s="128"/>
      <c r="L61" s="129"/>
      <c r="M61" s="161">
        <v>44</v>
      </c>
      <c r="N61" s="128"/>
      <c r="O61" s="129"/>
      <c r="P61" s="161">
        <v>44</v>
      </c>
      <c r="Q61" s="128"/>
      <c r="R61" s="129"/>
      <c r="S61" s="161">
        <v>44</v>
      </c>
      <c r="T61" s="128"/>
      <c r="U61" s="129"/>
      <c r="V61" s="161">
        <v>44</v>
      </c>
      <c r="W61" s="128"/>
      <c r="X61" s="129"/>
      <c r="Y61" s="161">
        <v>44</v>
      </c>
      <c r="Z61" s="128"/>
      <c r="AA61" s="129"/>
      <c r="AB61" s="161">
        <v>44</v>
      </c>
      <c r="AC61" s="128"/>
      <c r="AD61" s="129"/>
      <c r="AE61" s="161">
        <v>44</v>
      </c>
      <c r="AF61" s="128"/>
      <c r="AG61" s="129"/>
      <c r="AH61" s="161">
        <v>44</v>
      </c>
      <c r="AI61" s="128"/>
      <c r="AJ61" s="129"/>
      <c r="AK61" s="155"/>
      <c r="AL61" s="163"/>
      <c r="AM61" s="181"/>
    </row>
    <row r="62" spans="1:39" x14ac:dyDescent="0.2">
      <c r="A62" s="181"/>
      <c r="B62" s="155"/>
      <c r="C62" s="155"/>
      <c r="D62" s="161">
        <v>45</v>
      </c>
      <c r="E62" s="131"/>
      <c r="F62" s="130"/>
      <c r="G62" s="161">
        <v>45</v>
      </c>
      <c r="H62" s="131"/>
      <c r="I62" s="130"/>
      <c r="J62" s="161">
        <v>45</v>
      </c>
      <c r="K62" s="131"/>
      <c r="L62" s="130"/>
      <c r="M62" s="161">
        <v>45</v>
      </c>
      <c r="N62" s="131"/>
      <c r="O62" s="130"/>
      <c r="P62" s="161">
        <v>45</v>
      </c>
      <c r="Q62" s="131"/>
      <c r="R62" s="130"/>
      <c r="S62" s="161">
        <v>45</v>
      </c>
      <c r="T62" s="131"/>
      <c r="U62" s="130"/>
      <c r="V62" s="161">
        <v>45</v>
      </c>
      <c r="W62" s="131"/>
      <c r="X62" s="130"/>
      <c r="Y62" s="161">
        <v>45</v>
      </c>
      <c r="Z62" s="131"/>
      <c r="AA62" s="130"/>
      <c r="AB62" s="161">
        <v>45</v>
      </c>
      <c r="AC62" s="131"/>
      <c r="AD62" s="130"/>
      <c r="AE62" s="161">
        <v>45</v>
      </c>
      <c r="AF62" s="131"/>
      <c r="AG62" s="130"/>
      <c r="AH62" s="161">
        <v>45</v>
      </c>
      <c r="AI62" s="131"/>
      <c r="AJ62" s="130"/>
      <c r="AK62" s="155"/>
      <c r="AL62" s="163"/>
      <c r="AM62" s="181"/>
    </row>
    <row r="63" spans="1:39" x14ac:dyDescent="0.2">
      <c r="A63" s="181"/>
      <c r="B63" s="155"/>
      <c r="C63" s="155"/>
      <c r="D63" s="161">
        <v>46</v>
      </c>
      <c r="E63" s="128"/>
      <c r="F63" s="129"/>
      <c r="G63" s="161">
        <v>46</v>
      </c>
      <c r="H63" s="128"/>
      <c r="I63" s="129"/>
      <c r="J63" s="161">
        <v>46</v>
      </c>
      <c r="K63" s="128"/>
      <c r="L63" s="129"/>
      <c r="M63" s="161">
        <v>46</v>
      </c>
      <c r="N63" s="128"/>
      <c r="O63" s="129"/>
      <c r="P63" s="161">
        <v>46</v>
      </c>
      <c r="Q63" s="128"/>
      <c r="R63" s="129"/>
      <c r="S63" s="161">
        <v>46</v>
      </c>
      <c r="T63" s="128"/>
      <c r="U63" s="129"/>
      <c r="V63" s="161">
        <v>46</v>
      </c>
      <c r="W63" s="128"/>
      <c r="X63" s="129"/>
      <c r="Y63" s="161">
        <v>46</v>
      </c>
      <c r="Z63" s="128"/>
      <c r="AA63" s="129"/>
      <c r="AB63" s="161">
        <v>46</v>
      </c>
      <c r="AC63" s="128"/>
      <c r="AD63" s="129"/>
      <c r="AE63" s="161">
        <v>46</v>
      </c>
      <c r="AF63" s="128"/>
      <c r="AG63" s="129"/>
      <c r="AH63" s="161">
        <v>46</v>
      </c>
      <c r="AI63" s="128"/>
      <c r="AJ63" s="129"/>
      <c r="AK63" s="155"/>
      <c r="AL63" s="163"/>
      <c r="AM63" s="181"/>
    </row>
    <row r="64" spans="1:39" x14ac:dyDescent="0.2">
      <c r="A64" s="181"/>
      <c r="B64" s="155"/>
      <c r="C64" s="155"/>
      <c r="D64" s="161">
        <v>47</v>
      </c>
      <c r="E64" s="131"/>
      <c r="F64" s="130"/>
      <c r="G64" s="161">
        <v>47</v>
      </c>
      <c r="H64" s="131"/>
      <c r="I64" s="130"/>
      <c r="J64" s="161">
        <v>47</v>
      </c>
      <c r="K64" s="131"/>
      <c r="L64" s="130"/>
      <c r="M64" s="161">
        <v>47</v>
      </c>
      <c r="N64" s="131"/>
      <c r="O64" s="130"/>
      <c r="P64" s="161">
        <v>47</v>
      </c>
      <c r="Q64" s="131"/>
      <c r="R64" s="130"/>
      <c r="S64" s="161">
        <v>47</v>
      </c>
      <c r="T64" s="131"/>
      <c r="U64" s="130"/>
      <c r="V64" s="161">
        <v>47</v>
      </c>
      <c r="W64" s="131"/>
      <c r="X64" s="130"/>
      <c r="Y64" s="161">
        <v>47</v>
      </c>
      <c r="Z64" s="131"/>
      <c r="AA64" s="130"/>
      <c r="AB64" s="161">
        <v>47</v>
      </c>
      <c r="AC64" s="131"/>
      <c r="AD64" s="130"/>
      <c r="AE64" s="161">
        <v>47</v>
      </c>
      <c r="AF64" s="131"/>
      <c r="AG64" s="130"/>
      <c r="AH64" s="161">
        <v>47</v>
      </c>
      <c r="AI64" s="131"/>
      <c r="AJ64" s="130"/>
      <c r="AK64" s="155"/>
      <c r="AL64" s="163"/>
      <c r="AM64" s="181"/>
    </row>
    <row r="65" spans="1:39" x14ac:dyDescent="0.2">
      <c r="A65" s="181"/>
      <c r="B65" s="155"/>
      <c r="C65" s="155"/>
      <c r="D65" s="161">
        <v>48</v>
      </c>
      <c r="E65" s="128"/>
      <c r="F65" s="129"/>
      <c r="G65" s="161">
        <v>48</v>
      </c>
      <c r="H65" s="128"/>
      <c r="I65" s="129"/>
      <c r="J65" s="161">
        <v>48</v>
      </c>
      <c r="K65" s="128"/>
      <c r="L65" s="129"/>
      <c r="M65" s="161">
        <v>48</v>
      </c>
      <c r="N65" s="128"/>
      <c r="O65" s="129"/>
      <c r="P65" s="161">
        <v>48</v>
      </c>
      <c r="Q65" s="128"/>
      <c r="R65" s="129"/>
      <c r="S65" s="161">
        <v>48</v>
      </c>
      <c r="T65" s="128"/>
      <c r="U65" s="129"/>
      <c r="V65" s="161">
        <v>48</v>
      </c>
      <c r="W65" s="128"/>
      <c r="X65" s="129"/>
      <c r="Y65" s="161">
        <v>48</v>
      </c>
      <c r="Z65" s="128"/>
      <c r="AA65" s="129"/>
      <c r="AB65" s="161">
        <v>48</v>
      </c>
      <c r="AC65" s="128"/>
      <c r="AD65" s="129"/>
      <c r="AE65" s="161">
        <v>48</v>
      </c>
      <c r="AF65" s="128"/>
      <c r="AG65" s="129"/>
      <c r="AH65" s="161">
        <v>48</v>
      </c>
      <c r="AI65" s="128"/>
      <c r="AJ65" s="129"/>
      <c r="AK65" s="155"/>
      <c r="AL65" s="163"/>
      <c r="AM65" s="181"/>
    </row>
    <row r="66" spans="1:39" x14ac:dyDescent="0.2">
      <c r="A66" s="181"/>
      <c r="B66" s="155"/>
      <c r="C66" s="155"/>
      <c r="D66" s="161">
        <v>49</v>
      </c>
      <c r="E66" s="131"/>
      <c r="F66" s="130"/>
      <c r="G66" s="161">
        <v>49</v>
      </c>
      <c r="H66" s="131"/>
      <c r="I66" s="130"/>
      <c r="J66" s="161">
        <v>49</v>
      </c>
      <c r="K66" s="131"/>
      <c r="L66" s="130"/>
      <c r="M66" s="161">
        <v>49</v>
      </c>
      <c r="N66" s="131"/>
      <c r="O66" s="130"/>
      <c r="P66" s="161">
        <v>49</v>
      </c>
      <c r="Q66" s="131"/>
      <c r="R66" s="130"/>
      <c r="S66" s="161">
        <v>49</v>
      </c>
      <c r="T66" s="131"/>
      <c r="U66" s="130"/>
      <c r="V66" s="161">
        <v>49</v>
      </c>
      <c r="W66" s="131"/>
      <c r="X66" s="130"/>
      <c r="Y66" s="161">
        <v>49</v>
      </c>
      <c r="Z66" s="131"/>
      <c r="AA66" s="130"/>
      <c r="AB66" s="161">
        <v>49</v>
      </c>
      <c r="AC66" s="131"/>
      <c r="AD66" s="130"/>
      <c r="AE66" s="161">
        <v>49</v>
      </c>
      <c r="AF66" s="131"/>
      <c r="AG66" s="130"/>
      <c r="AH66" s="161">
        <v>49</v>
      </c>
      <c r="AI66" s="131"/>
      <c r="AJ66" s="130"/>
      <c r="AK66" s="155"/>
      <c r="AL66" s="163"/>
      <c r="AM66" s="181"/>
    </row>
    <row r="67" spans="1:39" ht="13.5" thickBot="1" x14ac:dyDescent="0.25">
      <c r="A67" s="181"/>
      <c r="B67" s="155"/>
      <c r="C67" s="155"/>
      <c r="D67" s="161">
        <v>50</v>
      </c>
      <c r="E67" s="413"/>
      <c r="F67" s="414"/>
      <c r="G67" s="161">
        <v>50</v>
      </c>
      <c r="H67" s="413"/>
      <c r="I67" s="414"/>
      <c r="J67" s="161">
        <v>50</v>
      </c>
      <c r="K67" s="413"/>
      <c r="L67" s="414"/>
      <c r="M67" s="161">
        <v>50</v>
      </c>
      <c r="N67" s="413"/>
      <c r="O67" s="414"/>
      <c r="P67" s="161">
        <v>50</v>
      </c>
      <c r="Q67" s="413"/>
      <c r="R67" s="414"/>
      <c r="S67" s="161">
        <v>50</v>
      </c>
      <c r="T67" s="413"/>
      <c r="U67" s="414"/>
      <c r="V67" s="161">
        <v>50</v>
      </c>
      <c r="W67" s="413"/>
      <c r="X67" s="414"/>
      <c r="Y67" s="161">
        <v>50</v>
      </c>
      <c r="Z67" s="413"/>
      <c r="AA67" s="414"/>
      <c r="AB67" s="161">
        <v>50</v>
      </c>
      <c r="AC67" s="413"/>
      <c r="AD67" s="414"/>
      <c r="AE67" s="161">
        <v>50</v>
      </c>
      <c r="AF67" s="413"/>
      <c r="AG67" s="414"/>
      <c r="AH67" s="161">
        <v>50</v>
      </c>
      <c r="AI67" s="413"/>
      <c r="AJ67" s="414"/>
      <c r="AK67" s="155"/>
      <c r="AL67" s="163"/>
      <c r="AM67" s="181"/>
    </row>
    <row r="68" spans="1:39" s="8" customFormat="1" ht="5.0999999999999996" customHeight="1" x14ac:dyDescent="0.2">
      <c r="A68" s="181"/>
      <c r="B68" s="155"/>
      <c r="C68" s="155"/>
      <c r="D68" s="161"/>
      <c r="E68" s="174"/>
      <c r="F68" s="175"/>
      <c r="G68" s="161"/>
      <c r="H68" s="174"/>
      <c r="I68" s="175"/>
      <c r="J68" s="161"/>
      <c r="K68" s="174"/>
      <c r="L68" s="175"/>
      <c r="M68" s="161"/>
      <c r="N68" s="174"/>
      <c r="O68" s="175"/>
      <c r="P68" s="161"/>
      <c r="Q68" s="174"/>
      <c r="R68" s="175"/>
      <c r="S68" s="161"/>
      <c r="T68" s="174"/>
      <c r="U68" s="175"/>
      <c r="V68" s="161"/>
      <c r="W68" s="174"/>
      <c r="X68" s="175"/>
      <c r="Y68" s="161"/>
      <c r="Z68" s="174"/>
      <c r="AA68" s="175"/>
      <c r="AB68" s="161"/>
      <c r="AC68" s="174"/>
      <c r="AD68" s="175"/>
      <c r="AE68" s="161"/>
      <c r="AF68" s="174"/>
      <c r="AG68" s="175"/>
      <c r="AH68" s="161"/>
      <c r="AI68" s="174"/>
      <c r="AJ68" s="175"/>
      <c r="AK68" s="155"/>
      <c r="AL68" s="163"/>
      <c r="AM68" s="181"/>
    </row>
    <row r="69" spans="1:39" s="8" customFormat="1" x14ac:dyDescent="0.2">
      <c r="A69" s="181"/>
      <c r="B69" s="155"/>
      <c r="C69" s="155"/>
      <c r="D69" s="161"/>
      <c r="E69" s="525" t="str">
        <f>$D$7</f>
        <v>BASE</v>
      </c>
      <c r="F69" s="525"/>
      <c r="G69" s="161"/>
      <c r="H69" s="525" t="str">
        <f>$D$7</f>
        <v>BASE</v>
      </c>
      <c r="I69" s="525"/>
      <c r="J69" s="161"/>
      <c r="K69" s="525" t="str">
        <f>$D$7</f>
        <v>BASE</v>
      </c>
      <c r="L69" s="525"/>
      <c r="M69" s="161"/>
      <c r="N69" s="525" t="str">
        <f>$D$7</f>
        <v>BASE</v>
      </c>
      <c r="O69" s="525"/>
      <c r="P69" s="161"/>
      <c r="Q69" s="525" t="str">
        <f>$D$7</f>
        <v>BASE</v>
      </c>
      <c r="R69" s="525"/>
      <c r="S69" s="161"/>
      <c r="T69" s="525" t="str">
        <f>$D$7</f>
        <v>BASE</v>
      </c>
      <c r="U69" s="525"/>
      <c r="V69" s="161"/>
      <c r="W69" s="525" t="str">
        <f>$D$7</f>
        <v>BASE</v>
      </c>
      <c r="X69" s="525"/>
      <c r="Y69" s="161"/>
      <c r="Z69" s="525" t="str">
        <f>$D$7</f>
        <v>BASE</v>
      </c>
      <c r="AA69" s="525"/>
      <c r="AB69" s="161"/>
      <c r="AC69" s="525" t="str">
        <f>$D$7</f>
        <v>BASE</v>
      </c>
      <c r="AD69" s="525"/>
      <c r="AE69" s="161"/>
      <c r="AF69" s="525" t="str">
        <f>$D$7</f>
        <v>BASE</v>
      </c>
      <c r="AG69" s="525"/>
      <c r="AH69" s="161"/>
      <c r="AI69" s="525" t="str">
        <f>$D$7</f>
        <v>BASE</v>
      </c>
      <c r="AJ69" s="525"/>
      <c r="AK69" s="155"/>
      <c r="AL69" s="163"/>
      <c r="AM69" s="181"/>
    </row>
    <row r="70" spans="1:39" ht="5.0999999999999996" customHeight="1" x14ac:dyDescent="0.2">
      <c r="A70" s="181"/>
      <c r="B70" s="155"/>
      <c r="C70" s="155"/>
      <c r="D70" s="155"/>
      <c r="E70" s="155"/>
      <c r="F70" s="155"/>
      <c r="G70" s="155"/>
      <c r="H70" s="155"/>
      <c r="I70" s="155"/>
      <c r="J70" s="155"/>
      <c r="K70" s="155"/>
      <c r="L70" s="155"/>
      <c r="M70" s="155"/>
      <c r="N70" s="155"/>
      <c r="O70" s="155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  <c r="AA70" s="155"/>
      <c r="AB70" s="155"/>
      <c r="AC70" s="155"/>
      <c r="AD70" s="155"/>
      <c r="AE70" s="155"/>
      <c r="AF70" s="155"/>
      <c r="AG70" s="155"/>
      <c r="AH70" s="155"/>
      <c r="AI70" s="155"/>
      <c r="AJ70" s="155"/>
      <c r="AK70" s="155"/>
      <c r="AL70" s="163"/>
      <c r="AM70" s="181"/>
    </row>
    <row r="71" spans="1:39" ht="5.0999999999999996" customHeight="1" thickBot="1" x14ac:dyDescent="0.25">
      <c r="A71" s="181"/>
      <c r="B71" s="155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R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63"/>
      <c r="AM71" s="181"/>
    </row>
    <row r="72" spans="1:39" ht="12.75" customHeight="1" x14ac:dyDescent="0.2">
      <c r="A72" s="181"/>
      <c r="B72" s="155"/>
      <c r="C72" s="155"/>
      <c r="D72" s="526" t="s">
        <v>12</v>
      </c>
      <c r="E72" s="545">
        <f>SUM(E18:E67)</f>
        <v>2000</v>
      </c>
      <c r="F72" s="545">
        <f>SUM(F18:F67)</f>
        <v>3500</v>
      </c>
      <c r="G72" s="526" t="s">
        <v>12</v>
      </c>
      <c r="H72" s="545">
        <f>SUM(H18:H67)</f>
        <v>1000</v>
      </c>
      <c r="I72" s="545">
        <f>SUM(I18:I67)</f>
        <v>1500</v>
      </c>
      <c r="J72" s="526" t="s">
        <v>12</v>
      </c>
      <c r="K72" s="545">
        <f>SUM(K18:K67)</f>
        <v>0</v>
      </c>
      <c r="L72" s="545">
        <f>SUM(L18:L67)</f>
        <v>0</v>
      </c>
      <c r="M72" s="526" t="s">
        <v>12</v>
      </c>
      <c r="N72" s="545">
        <f>SUM(N18:N67)</f>
        <v>0</v>
      </c>
      <c r="O72" s="545">
        <f>SUM(O18:O67)</f>
        <v>0</v>
      </c>
      <c r="P72" s="526" t="s">
        <v>12</v>
      </c>
      <c r="Q72" s="545">
        <f>SUM(Q18:Q67)</f>
        <v>0</v>
      </c>
      <c r="R72" s="545">
        <f>SUM(R18:R67)</f>
        <v>0</v>
      </c>
      <c r="S72" s="526" t="s">
        <v>12</v>
      </c>
      <c r="T72" s="545">
        <f>SUM(T18:T67)</f>
        <v>0</v>
      </c>
      <c r="U72" s="545">
        <f>SUM(U18:U67)</f>
        <v>0</v>
      </c>
      <c r="V72" s="526" t="s">
        <v>12</v>
      </c>
      <c r="W72" s="545">
        <f>SUM(W18:W67)</f>
        <v>0</v>
      </c>
      <c r="X72" s="545">
        <f>SUM(X18:X67)</f>
        <v>0</v>
      </c>
      <c r="Y72" s="526" t="s">
        <v>12</v>
      </c>
      <c r="Z72" s="545">
        <f>SUM(Z18:Z67)</f>
        <v>0</v>
      </c>
      <c r="AA72" s="545">
        <f>SUM(AA18:AA67)</f>
        <v>0</v>
      </c>
      <c r="AB72" s="526" t="s">
        <v>12</v>
      </c>
      <c r="AC72" s="545">
        <f>SUM(AC18:AC67)</f>
        <v>0</v>
      </c>
      <c r="AD72" s="545">
        <f>SUM(AD18:AD67)</f>
        <v>0</v>
      </c>
      <c r="AE72" s="526" t="s">
        <v>12</v>
      </c>
      <c r="AF72" s="545">
        <f>SUM(AF18:AF67)</f>
        <v>0</v>
      </c>
      <c r="AG72" s="545">
        <f>SUM(AG18:AG67)</f>
        <v>0</v>
      </c>
      <c r="AH72" s="526" t="s">
        <v>12</v>
      </c>
      <c r="AI72" s="545">
        <f>SUM(AI18:AI67)</f>
        <v>0</v>
      </c>
      <c r="AJ72" s="545">
        <f>SUM(AJ18:AJ67)</f>
        <v>0</v>
      </c>
      <c r="AK72" s="155"/>
      <c r="AL72" s="163"/>
      <c r="AM72" s="181"/>
    </row>
    <row r="73" spans="1:39" ht="13.5" thickBot="1" x14ac:dyDescent="0.25">
      <c r="A73" s="181"/>
      <c r="B73" s="155"/>
      <c r="C73" s="155"/>
      <c r="D73" s="526"/>
      <c r="E73" s="546"/>
      <c r="F73" s="546"/>
      <c r="G73" s="526"/>
      <c r="H73" s="546"/>
      <c r="I73" s="546"/>
      <c r="J73" s="526"/>
      <c r="K73" s="546"/>
      <c r="L73" s="546"/>
      <c r="M73" s="526"/>
      <c r="N73" s="546"/>
      <c r="O73" s="546"/>
      <c r="P73" s="526"/>
      <c r="Q73" s="546"/>
      <c r="R73" s="546"/>
      <c r="S73" s="526"/>
      <c r="T73" s="546"/>
      <c r="U73" s="546"/>
      <c r="V73" s="526"/>
      <c r="W73" s="546"/>
      <c r="X73" s="546"/>
      <c r="Y73" s="526"/>
      <c r="Z73" s="546"/>
      <c r="AA73" s="546"/>
      <c r="AB73" s="526"/>
      <c r="AC73" s="546"/>
      <c r="AD73" s="546"/>
      <c r="AE73" s="526"/>
      <c r="AF73" s="546"/>
      <c r="AG73" s="546"/>
      <c r="AH73" s="526"/>
      <c r="AI73" s="546"/>
      <c r="AJ73" s="546"/>
      <c r="AK73" s="155"/>
      <c r="AL73" s="163"/>
      <c r="AM73" s="181"/>
    </row>
    <row r="74" spans="1:39" s="8" customFormat="1" ht="5.0999999999999996" customHeight="1" thickBot="1" x14ac:dyDescent="0.25">
      <c r="A74" s="181"/>
      <c r="B74" s="155"/>
      <c r="C74" s="155"/>
      <c r="D74" s="165"/>
      <c r="E74" s="176"/>
      <c r="F74" s="176"/>
      <c r="G74" s="165"/>
      <c r="H74" s="176"/>
      <c r="I74" s="176"/>
      <c r="J74" s="155"/>
      <c r="K74" s="176"/>
      <c r="L74" s="176"/>
      <c r="M74" s="155"/>
      <c r="N74" s="176"/>
      <c r="O74" s="176"/>
      <c r="P74" s="155"/>
      <c r="Q74" s="176"/>
      <c r="R74" s="176"/>
      <c r="S74" s="155"/>
      <c r="T74" s="176"/>
      <c r="U74" s="176"/>
      <c r="V74" s="155"/>
      <c r="W74" s="176"/>
      <c r="X74" s="176"/>
      <c r="Y74" s="155"/>
      <c r="Z74" s="176"/>
      <c r="AA74" s="176"/>
      <c r="AB74" s="155"/>
      <c r="AC74" s="176"/>
      <c r="AD74" s="176"/>
      <c r="AE74" s="155"/>
      <c r="AF74" s="176"/>
      <c r="AG74" s="176"/>
      <c r="AH74" s="155"/>
      <c r="AI74" s="176"/>
      <c r="AJ74" s="176"/>
      <c r="AK74" s="155"/>
      <c r="AL74" s="163"/>
      <c r="AM74" s="181"/>
    </row>
    <row r="75" spans="1:39" ht="12.75" customHeight="1" x14ac:dyDescent="0.2">
      <c r="A75" s="181"/>
      <c r="B75" s="155"/>
      <c r="C75" s="155"/>
      <c r="D75" s="526" t="s">
        <v>13</v>
      </c>
      <c r="E75" s="529">
        <f>E72+F72</f>
        <v>5500</v>
      </c>
      <c r="F75" s="530"/>
      <c r="G75" s="526" t="s">
        <v>13</v>
      </c>
      <c r="H75" s="529">
        <f>H72+I72</f>
        <v>2500</v>
      </c>
      <c r="I75" s="530"/>
      <c r="J75" s="526" t="s">
        <v>13</v>
      </c>
      <c r="K75" s="529">
        <f>K72+L72</f>
        <v>0</v>
      </c>
      <c r="L75" s="530"/>
      <c r="M75" s="526" t="s">
        <v>13</v>
      </c>
      <c r="N75" s="529">
        <f>N72+O72</f>
        <v>0</v>
      </c>
      <c r="O75" s="530"/>
      <c r="P75" s="526" t="s">
        <v>13</v>
      </c>
      <c r="Q75" s="529">
        <f>Q72+R72</f>
        <v>0</v>
      </c>
      <c r="R75" s="530"/>
      <c r="S75" s="526" t="s">
        <v>13</v>
      </c>
      <c r="T75" s="529">
        <f>T72+U72</f>
        <v>0</v>
      </c>
      <c r="U75" s="530"/>
      <c r="V75" s="526" t="s">
        <v>13</v>
      </c>
      <c r="W75" s="529">
        <f>W72+X72</f>
        <v>0</v>
      </c>
      <c r="X75" s="530"/>
      <c r="Y75" s="526" t="s">
        <v>13</v>
      </c>
      <c r="Z75" s="529">
        <f>Z72+AA72</f>
        <v>0</v>
      </c>
      <c r="AA75" s="530"/>
      <c r="AB75" s="526" t="s">
        <v>13</v>
      </c>
      <c r="AC75" s="529">
        <f>AC72+AD72</f>
        <v>0</v>
      </c>
      <c r="AD75" s="530"/>
      <c r="AE75" s="526" t="s">
        <v>13</v>
      </c>
      <c r="AF75" s="529">
        <f>AF72+AG72</f>
        <v>0</v>
      </c>
      <c r="AG75" s="530"/>
      <c r="AH75" s="526" t="s">
        <v>13</v>
      </c>
      <c r="AI75" s="529">
        <f>AI72+AJ72</f>
        <v>0</v>
      </c>
      <c r="AJ75" s="530"/>
      <c r="AK75" s="155"/>
      <c r="AL75" s="163"/>
      <c r="AM75" s="181"/>
    </row>
    <row r="76" spans="1:39" ht="13.5" thickBot="1" x14ac:dyDescent="0.25">
      <c r="A76" s="181"/>
      <c r="B76" s="155"/>
      <c r="C76" s="155"/>
      <c r="D76" s="526"/>
      <c r="E76" s="531"/>
      <c r="F76" s="532"/>
      <c r="G76" s="526"/>
      <c r="H76" s="531"/>
      <c r="I76" s="532"/>
      <c r="J76" s="526"/>
      <c r="K76" s="531"/>
      <c r="L76" s="532"/>
      <c r="M76" s="526"/>
      <c r="N76" s="531"/>
      <c r="O76" s="532"/>
      <c r="P76" s="526"/>
      <c r="Q76" s="531"/>
      <c r="R76" s="532"/>
      <c r="S76" s="526"/>
      <c r="T76" s="531"/>
      <c r="U76" s="532"/>
      <c r="V76" s="526"/>
      <c r="W76" s="531"/>
      <c r="X76" s="532"/>
      <c r="Y76" s="526"/>
      <c r="Z76" s="531"/>
      <c r="AA76" s="532"/>
      <c r="AB76" s="526"/>
      <c r="AC76" s="531"/>
      <c r="AD76" s="532"/>
      <c r="AE76" s="526"/>
      <c r="AF76" s="531"/>
      <c r="AG76" s="532"/>
      <c r="AH76" s="526"/>
      <c r="AI76" s="531"/>
      <c r="AJ76" s="532"/>
      <c r="AK76" s="155"/>
      <c r="AL76" s="163"/>
      <c r="AM76" s="181"/>
    </row>
    <row r="77" spans="1:39" ht="5.0999999999999996" customHeight="1" thickBot="1" x14ac:dyDescent="0.25">
      <c r="A77" s="181"/>
      <c r="B77" s="155"/>
      <c r="C77" s="155"/>
      <c r="D77" s="165"/>
      <c r="E77" s="164"/>
      <c r="F77" s="164"/>
      <c r="G77" s="165"/>
      <c r="H77" s="164"/>
      <c r="I77" s="164"/>
      <c r="J77" s="165"/>
      <c r="K77" s="164"/>
      <c r="L77" s="164"/>
      <c r="M77" s="165"/>
      <c r="N77" s="164"/>
      <c r="O77" s="164"/>
      <c r="P77" s="438"/>
      <c r="Q77" s="164"/>
      <c r="R77" s="164"/>
      <c r="S77" s="165"/>
      <c r="T77" s="164"/>
      <c r="U77" s="164"/>
      <c r="V77" s="438"/>
      <c r="W77" s="164"/>
      <c r="X77" s="164"/>
      <c r="Y77" s="165"/>
      <c r="Z77" s="164"/>
      <c r="AA77" s="164"/>
      <c r="AB77" s="438"/>
      <c r="AC77" s="164"/>
      <c r="AD77" s="164"/>
      <c r="AE77" s="412"/>
      <c r="AF77" s="164"/>
      <c r="AG77" s="164"/>
      <c r="AH77" s="438"/>
      <c r="AI77" s="164"/>
      <c r="AJ77" s="164"/>
      <c r="AK77" s="155"/>
      <c r="AL77" s="163"/>
      <c r="AM77" s="181"/>
    </row>
    <row r="78" spans="1:39" ht="12.75" customHeight="1" x14ac:dyDescent="0.2">
      <c r="A78" s="181"/>
      <c r="B78" s="155"/>
      <c r="C78" s="155"/>
      <c r="D78" s="526"/>
      <c r="E78" s="533">
        <v>2000</v>
      </c>
      <c r="F78" s="177" t="s">
        <v>10</v>
      </c>
      <c r="G78" s="526" t="s">
        <v>9</v>
      </c>
      <c r="H78" s="533">
        <v>1000</v>
      </c>
      <c r="I78" s="177" t="s">
        <v>10</v>
      </c>
      <c r="J78" s="526" t="s">
        <v>9</v>
      </c>
      <c r="K78" s="533"/>
      <c r="L78" s="177" t="s">
        <v>10</v>
      </c>
      <c r="M78" s="526" t="s">
        <v>9</v>
      </c>
      <c r="N78" s="533"/>
      <c r="O78" s="177" t="s">
        <v>10</v>
      </c>
      <c r="P78" s="526" t="s">
        <v>9</v>
      </c>
      <c r="Q78" s="533"/>
      <c r="R78" s="177" t="s">
        <v>10</v>
      </c>
      <c r="S78" s="526" t="s">
        <v>9</v>
      </c>
      <c r="T78" s="533"/>
      <c r="U78" s="177" t="s">
        <v>10</v>
      </c>
      <c r="V78" s="526" t="s">
        <v>9</v>
      </c>
      <c r="W78" s="533"/>
      <c r="X78" s="177" t="s">
        <v>10</v>
      </c>
      <c r="Y78" s="526" t="s">
        <v>9</v>
      </c>
      <c r="Z78" s="533"/>
      <c r="AA78" s="177" t="s">
        <v>10</v>
      </c>
      <c r="AB78" s="526" t="s">
        <v>9</v>
      </c>
      <c r="AC78" s="533"/>
      <c r="AD78" s="177" t="s">
        <v>10</v>
      </c>
      <c r="AE78" s="526" t="s">
        <v>9</v>
      </c>
      <c r="AF78" s="533"/>
      <c r="AG78" s="177" t="s">
        <v>10</v>
      </c>
      <c r="AH78" s="526" t="s">
        <v>9</v>
      </c>
      <c r="AI78" s="533"/>
      <c r="AJ78" s="177" t="s">
        <v>10</v>
      </c>
      <c r="AK78" s="155"/>
      <c r="AL78" s="163"/>
      <c r="AM78" s="181"/>
    </row>
    <row r="79" spans="1:39" ht="13.5" thickBot="1" x14ac:dyDescent="0.25">
      <c r="A79" s="181"/>
      <c r="B79" s="155"/>
      <c r="C79" s="155"/>
      <c r="D79" s="526"/>
      <c r="E79" s="534"/>
      <c r="F79" s="178">
        <f>E75-E78</f>
        <v>3500</v>
      </c>
      <c r="G79" s="526"/>
      <c r="H79" s="534"/>
      <c r="I79" s="178">
        <f>H75-H78</f>
        <v>1500</v>
      </c>
      <c r="J79" s="526"/>
      <c r="K79" s="534"/>
      <c r="L79" s="178">
        <f>K75-K78</f>
        <v>0</v>
      </c>
      <c r="M79" s="526"/>
      <c r="N79" s="534"/>
      <c r="O79" s="178">
        <f>N75-N78</f>
        <v>0</v>
      </c>
      <c r="P79" s="526"/>
      <c r="Q79" s="534"/>
      <c r="R79" s="178">
        <f>Q75-Q78</f>
        <v>0</v>
      </c>
      <c r="S79" s="526"/>
      <c r="T79" s="534"/>
      <c r="U79" s="178">
        <f>T75-T78</f>
        <v>0</v>
      </c>
      <c r="V79" s="526"/>
      <c r="W79" s="534"/>
      <c r="X79" s="178">
        <f>W75-W78</f>
        <v>0</v>
      </c>
      <c r="Y79" s="526"/>
      <c r="Z79" s="534"/>
      <c r="AA79" s="178">
        <f>Z75-Z78</f>
        <v>0</v>
      </c>
      <c r="AB79" s="526"/>
      <c r="AC79" s="534"/>
      <c r="AD79" s="178">
        <f>AC75-AC78</f>
        <v>0</v>
      </c>
      <c r="AE79" s="526"/>
      <c r="AF79" s="534"/>
      <c r="AG79" s="178">
        <f>AF75-AF78</f>
        <v>0</v>
      </c>
      <c r="AH79" s="526"/>
      <c r="AI79" s="534"/>
      <c r="AJ79" s="178">
        <f>AI75-AI78</f>
        <v>0</v>
      </c>
      <c r="AK79" s="155"/>
      <c r="AL79" s="163"/>
      <c r="AM79" s="181"/>
    </row>
    <row r="80" spans="1:39" ht="12.75" customHeight="1" x14ac:dyDescent="0.2">
      <c r="A80" s="181"/>
      <c r="B80" s="155"/>
      <c r="C80" s="155"/>
      <c r="D80" s="439"/>
      <c r="E80" s="164"/>
      <c r="F80" s="535">
        <f>F79</f>
        <v>3500</v>
      </c>
      <c r="G80" s="439"/>
      <c r="H80" s="164"/>
      <c r="I80" s="535">
        <f>I79</f>
        <v>1500</v>
      </c>
      <c r="J80" s="439"/>
      <c r="K80" s="164"/>
      <c r="L80" s="535">
        <f>L79</f>
        <v>0</v>
      </c>
      <c r="M80" s="439"/>
      <c r="N80" s="164"/>
      <c r="O80" s="535">
        <f>O79</f>
        <v>0</v>
      </c>
      <c r="P80" s="439"/>
      <c r="Q80" s="164"/>
      <c r="R80" s="535">
        <f>R79</f>
        <v>0</v>
      </c>
      <c r="S80" s="439"/>
      <c r="T80" s="164"/>
      <c r="U80" s="535">
        <f>U79</f>
        <v>0</v>
      </c>
      <c r="V80" s="439"/>
      <c r="W80" s="164"/>
      <c r="X80" s="535">
        <f>X79</f>
        <v>0</v>
      </c>
      <c r="Y80" s="439"/>
      <c r="Z80" s="164"/>
      <c r="AA80" s="535">
        <f>AA79</f>
        <v>0</v>
      </c>
      <c r="AB80" s="439"/>
      <c r="AC80" s="164"/>
      <c r="AD80" s="535">
        <f>AD79</f>
        <v>0</v>
      </c>
      <c r="AE80" s="439"/>
      <c r="AF80" s="164"/>
      <c r="AG80" s="535">
        <f>AG79</f>
        <v>0</v>
      </c>
      <c r="AH80" s="439"/>
      <c r="AI80" s="164"/>
      <c r="AJ80" s="535">
        <f>AJ79</f>
        <v>0</v>
      </c>
      <c r="AK80" s="155"/>
      <c r="AL80" s="163"/>
      <c r="AM80" s="181"/>
    </row>
    <row r="81" spans="1:40" ht="12.75" customHeight="1" x14ac:dyDescent="0.2">
      <c r="A81" s="181"/>
      <c r="B81" s="155"/>
      <c r="C81" s="155"/>
      <c r="D81" s="439"/>
      <c r="E81" s="164"/>
      <c r="F81" s="535"/>
      <c r="G81" s="439"/>
      <c r="H81" s="164"/>
      <c r="I81" s="535"/>
      <c r="J81" s="439"/>
      <c r="K81" s="164"/>
      <c r="L81" s="535"/>
      <c r="M81" s="439"/>
      <c r="N81" s="164"/>
      <c r="O81" s="535"/>
      <c r="P81" s="439"/>
      <c r="Q81" s="164"/>
      <c r="R81" s="535"/>
      <c r="S81" s="439"/>
      <c r="T81" s="164"/>
      <c r="U81" s="535"/>
      <c r="V81" s="439"/>
      <c r="W81" s="164"/>
      <c r="X81" s="535"/>
      <c r="Y81" s="439"/>
      <c r="Z81" s="164"/>
      <c r="AA81" s="535"/>
      <c r="AB81" s="439"/>
      <c r="AC81" s="164"/>
      <c r="AD81" s="535"/>
      <c r="AE81" s="439"/>
      <c r="AF81" s="164"/>
      <c r="AG81" s="535"/>
      <c r="AH81" s="439"/>
      <c r="AI81" s="164"/>
      <c r="AJ81" s="535"/>
      <c r="AK81" s="155"/>
      <c r="AL81" s="163"/>
      <c r="AM81" s="181"/>
    </row>
    <row r="82" spans="1:40" ht="5.0999999999999996" customHeight="1" thickBot="1" x14ac:dyDescent="0.25">
      <c r="A82" s="181"/>
      <c r="B82" s="155"/>
      <c r="C82" s="155"/>
      <c r="D82" s="439"/>
      <c r="E82" s="164"/>
      <c r="F82" s="164"/>
      <c r="G82" s="439"/>
      <c r="H82" s="164"/>
      <c r="I82" s="164"/>
      <c r="J82" s="439"/>
      <c r="K82" s="164"/>
      <c r="L82" s="164"/>
      <c r="M82" s="439"/>
      <c r="N82" s="164"/>
      <c r="O82" s="164"/>
      <c r="P82" s="439"/>
      <c r="Q82" s="164"/>
      <c r="R82" s="164"/>
      <c r="S82" s="439"/>
      <c r="T82" s="164"/>
      <c r="U82" s="164"/>
      <c r="V82" s="439"/>
      <c r="W82" s="164"/>
      <c r="X82" s="164"/>
      <c r="Y82" s="439"/>
      <c r="Z82" s="164"/>
      <c r="AA82" s="164"/>
      <c r="AB82" s="439"/>
      <c r="AC82" s="164"/>
      <c r="AD82" s="164"/>
      <c r="AE82" s="439"/>
      <c r="AF82" s="164"/>
      <c r="AG82" s="164"/>
      <c r="AH82" s="439"/>
      <c r="AI82" s="164"/>
      <c r="AJ82" s="164"/>
      <c r="AK82" s="155"/>
      <c r="AL82" s="163"/>
      <c r="AM82" s="181"/>
    </row>
    <row r="83" spans="1:40" ht="12.75" customHeight="1" x14ac:dyDescent="0.2">
      <c r="A83" s="181"/>
      <c r="B83" s="155"/>
      <c r="C83" s="155"/>
      <c r="D83" s="526"/>
      <c r="E83" s="536">
        <v>150</v>
      </c>
      <c r="F83" s="526" t="s">
        <v>67</v>
      </c>
      <c r="G83" s="526"/>
      <c r="H83" s="536"/>
      <c r="I83" s="526" t="s">
        <v>67</v>
      </c>
      <c r="J83" s="526"/>
      <c r="K83" s="536"/>
      <c r="L83" s="526" t="s">
        <v>67</v>
      </c>
      <c r="M83" s="526"/>
      <c r="N83" s="536"/>
      <c r="O83" s="526" t="s">
        <v>67</v>
      </c>
      <c r="P83" s="526"/>
      <c r="Q83" s="536"/>
      <c r="R83" s="526" t="s">
        <v>67</v>
      </c>
      <c r="S83" s="526"/>
      <c r="T83" s="536"/>
      <c r="U83" s="526" t="s">
        <v>67</v>
      </c>
      <c r="V83" s="526"/>
      <c r="W83" s="536"/>
      <c r="X83" s="526" t="s">
        <v>67</v>
      </c>
      <c r="Y83" s="526"/>
      <c r="Z83" s="536"/>
      <c r="AA83" s="526" t="s">
        <v>67</v>
      </c>
      <c r="AB83" s="526"/>
      <c r="AC83" s="536"/>
      <c r="AD83" s="526" t="s">
        <v>67</v>
      </c>
      <c r="AE83" s="526"/>
      <c r="AF83" s="536"/>
      <c r="AG83" s="526" t="s">
        <v>67</v>
      </c>
      <c r="AH83" s="526"/>
      <c r="AI83" s="536"/>
      <c r="AJ83" s="526" t="s">
        <v>67</v>
      </c>
      <c r="AK83" s="155"/>
      <c r="AL83" s="163"/>
      <c r="AM83" s="181"/>
    </row>
    <row r="84" spans="1:40" ht="13.5" thickBot="1" x14ac:dyDescent="0.25">
      <c r="A84" s="181"/>
      <c r="B84" s="155"/>
      <c r="C84" s="155"/>
      <c r="D84" s="526"/>
      <c r="E84" s="537"/>
      <c r="F84" s="526"/>
      <c r="G84" s="526"/>
      <c r="H84" s="537"/>
      <c r="I84" s="526"/>
      <c r="J84" s="526"/>
      <c r="K84" s="537"/>
      <c r="L84" s="526"/>
      <c r="M84" s="526"/>
      <c r="N84" s="537"/>
      <c r="O84" s="526"/>
      <c r="P84" s="526"/>
      <c r="Q84" s="537"/>
      <c r="R84" s="526"/>
      <c r="S84" s="526"/>
      <c r="T84" s="537"/>
      <c r="U84" s="526"/>
      <c r="V84" s="526"/>
      <c r="W84" s="537"/>
      <c r="X84" s="526"/>
      <c r="Y84" s="526"/>
      <c r="Z84" s="537"/>
      <c r="AA84" s="526"/>
      <c r="AB84" s="526"/>
      <c r="AC84" s="537"/>
      <c r="AD84" s="526"/>
      <c r="AE84" s="526"/>
      <c r="AF84" s="537"/>
      <c r="AG84" s="526"/>
      <c r="AH84" s="526"/>
      <c r="AI84" s="537"/>
      <c r="AJ84" s="526"/>
      <c r="AK84" s="155"/>
      <c r="AL84" s="163"/>
      <c r="AM84" s="181"/>
    </row>
    <row r="85" spans="1:40" s="8" customFormat="1" ht="5.0999999999999996" customHeight="1" thickBot="1" x14ac:dyDescent="0.25">
      <c r="A85" s="181"/>
      <c r="B85" s="155"/>
      <c r="C85" s="155"/>
      <c r="D85" s="439"/>
      <c r="E85" s="173"/>
      <c r="F85" s="164"/>
      <c r="G85" s="439"/>
      <c r="H85" s="173"/>
      <c r="I85" s="164"/>
      <c r="J85" s="439"/>
      <c r="K85" s="173"/>
      <c r="L85" s="164"/>
      <c r="M85" s="439"/>
      <c r="N85" s="173"/>
      <c r="O85" s="164"/>
      <c r="P85" s="439"/>
      <c r="Q85" s="173"/>
      <c r="R85" s="164"/>
      <c r="S85" s="439"/>
      <c r="T85" s="173"/>
      <c r="U85" s="164"/>
      <c r="V85" s="439"/>
      <c r="W85" s="173"/>
      <c r="X85" s="164"/>
      <c r="Y85" s="439"/>
      <c r="Z85" s="173"/>
      <c r="AA85" s="164"/>
      <c r="AB85" s="439"/>
      <c r="AC85" s="173"/>
      <c r="AD85" s="164"/>
      <c r="AE85" s="439"/>
      <c r="AF85" s="173"/>
      <c r="AG85" s="164"/>
      <c r="AH85" s="439"/>
      <c r="AI85" s="173"/>
      <c r="AJ85" s="164"/>
      <c r="AK85" s="155"/>
      <c r="AL85" s="163"/>
      <c r="AM85" s="181"/>
    </row>
    <row r="86" spans="1:40" s="8" customFormat="1" ht="12.75" customHeight="1" x14ac:dyDescent="0.2">
      <c r="A86" s="181"/>
      <c r="B86" s="155"/>
      <c r="C86" s="155"/>
      <c r="D86" s="439"/>
      <c r="E86" s="526" t="s">
        <v>69</v>
      </c>
      <c r="F86" s="533">
        <v>50</v>
      </c>
      <c r="G86" s="439"/>
      <c r="H86" s="540" t="s">
        <v>69</v>
      </c>
      <c r="I86" s="533"/>
      <c r="J86" s="439"/>
      <c r="K86" s="526" t="s">
        <v>69</v>
      </c>
      <c r="L86" s="533"/>
      <c r="M86" s="439"/>
      <c r="N86" s="526" t="s">
        <v>69</v>
      </c>
      <c r="O86" s="533"/>
      <c r="P86" s="439"/>
      <c r="Q86" s="526" t="s">
        <v>69</v>
      </c>
      <c r="R86" s="533"/>
      <c r="S86" s="439"/>
      <c r="T86" s="526" t="s">
        <v>69</v>
      </c>
      <c r="U86" s="533"/>
      <c r="V86" s="439"/>
      <c r="W86" s="526" t="s">
        <v>69</v>
      </c>
      <c r="X86" s="533"/>
      <c r="Y86" s="439"/>
      <c r="Z86" s="526" t="s">
        <v>69</v>
      </c>
      <c r="AA86" s="533"/>
      <c r="AB86" s="439"/>
      <c r="AC86" s="526" t="s">
        <v>69</v>
      </c>
      <c r="AD86" s="533"/>
      <c r="AE86" s="439"/>
      <c r="AF86" s="526" t="s">
        <v>69</v>
      </c>
      <c r="AG86" s="533"/>
      <c r="AH86" s="439"/>
      <c r="AI86" s="526" t="s">
        <v>69</v>
      </c>
      <c r="AJ86" s="533"/>
      <c r="AK86" s="155"/>
      <c r="AL86" s="163"/>
      <c r="AM86" s="181"/>
    </row>
    <row r="87" spans="1:40" s="8" customFormat="1" ht="13.5" thickBot="1" x14ac:dyDescent="0.25">
      <c r="A87" s="181"/>
      <c r="B87" s="155"/>
      <c r="C87" s="155"/>
      <c r="D87" s="439"/>
      <c r="E87" s="526"/>
      <c r="F87" s="534"/>
      <c r="G87" s="439"/>
      <c r="H87" s="540"/>
      <c r="I87" s="534"/>
      <c r="J87" s="439"/>
      <c r="K87" s="526"/>
      <c r="L87" s="534"/>
      <c r="M87" s="439"/>
      <c r="N87" s="526"/>
      <c r="O87" s="534"/>
      <c r="P87" s="439"/>
      <c r="Q87" s="526"/>
      <c r="R87" s="534"/>
      <c r="S87" s="439"/>
      <c r="T87" s="526"/>
      <c r="U87" s="534"/>
      <c r="V87" s="439"/>
      <c r="W87" s="526"/>
      <c r="X87" s="534"/>
      <c r="Y87" s="439"/>
      <c r="Z87" s="526"/>
      <c r="AA87" s="534"/>
      <c r="AB87" s="439"/>
      <c r="AC87" s="526"/>
      <c r="AD87" s="534"/>
      <c r="AE87" s="439"/>
      <c r="AF87" s="526"/>
      <c r="AG87" s="534"/>
      <c r="AH87" s="439"/>
      <c r="AI87" s="526"/>
      <c r="AJ87" s="534"/>
      <c r="AK87" s="155"/>
      <c r="AL87" s="163"/>
      <c r="AM87" s="181"/>
    </row>
    <row r="88" spans="1:40" s="8" customFormat="1" ht="5.0999999999999996" customHeight="1" thickBot="1" x14ac:dyDescent="0.25">
      <c r="A88" s="181"/>
      <c r="B88" s="155"/>
      <c r="C88" s="155"/>
      <c r="D88" s="439"/>
      <c r="E88" s="173"/>
      <c r="F88" s="164"/>
      <c r="G88" s="439"/>
      <c r="H88" s="173"/>
      <c r="I88" s="164"/>
      <c r="J88" s="439"/>
      <c r="K88" s="173"/>
      <c r="L88" s="164"/>
      <c r="M88" s="439"/>
      <c r="N88" s="173"/>
      <c r="O88" s="164"/>
      <c r="P88" s="439"/>
      <c r="Q88" s="173"/>
      <c r="R88" s="164"/>
      <c r="S88" s="439"/>
      <c r="T88" s="173"/>
      <c r="U88" s="164"/>
      <c r="V88" s="439"/>
      <c r="W88" s="173"/>
      <c r="X88" s="164"/>
      <c r="Y88" s="439"/>
      <c r="Z88" s="173"/>
      <c r="AA88" s="164"/>
      <c r="AB88" s="439"/>
      <c r="AC88" s="173"/>
      <c r="AD88" s="164"/>
      <c r="AE88" s="439"/>
      <c r="AF88" s="173"/>
      <c r="AG88" s="164"/>
      <c r="AH88" s="439"/>
      <c r="AI88" s="173"/>
      <c r="AJ88" s="164"/>
      <c r="AK88" s="155"/>
      <c r="AL88" s="163"/>
      <c r="AM88" s="181"/>
    </row>
    <row r="89" spans="1:40" s="8" customFormat="1" ht="12.75" customHeight="1" x14ac:dyDescent="0.2">
      <c r="A89" s="181"/>
      <c r="B89" s="155"/>
      <c r="C89" s="155"/>
      <c r="D89" s="526"/>
      <c r="E89" s="536"/>
      <c r="F89" s="526" t="s">
        <v>68</v>
      </c>
      <c r="G89" s="526"/>
      <c r="H89" s="536"/>
      <c r="I89" s="526" t="s">
        <v>68</v>
      </c>
      <c r="J89" s="526"/>
      <c r="K89" s="536"/>
      <c r="L89" s="526" t="s">
        <v>68</v>
      </c>
      <c r="M89" s="526"/>
      <c r="N89" s="536"/>
      <c r="O89" s="526" t="s">
        <v>68</v>
      </c>
      <c r="P89" s="526"/>
      <c r="Q89" s="536"/>
      <c r="R89" s="526" t="s">
        <v>68</v>
      </c>
      <c r="S89" s="526"/>
      <c r="T89" s="536"/>
      <c r="U89" s="526" t="s">
        <v>68</v>
      </c>
      <c r="V89" s="526"/>
      <c r="W89" s="536"/>
      <c r="X89" s="526" t="s">
        <v>68</v>
      </c>
      <c r="Y89" s="526"/>
      <c r="Z89" s="536"/>
      <c r="AA89" s="526" t="s">
        <v>68</v>
      </c>
      <c r="AB89" s="526"/>
      <c r="AC89" s="536"/>
      <c r="AD89" s="526" t="s">
        <v>68</v>
      </c>
      <c r="AE89" s="526"/>
      <c r="AF89" s="536"/>
      <c r="AG89" s="526" t="s">
        <v>68</v>
      </c>
      <c r="AH89" s="526"/>
      <c r="AI89" s="536"/>
      <c r="AJ89" s="526" t="s">
        <v>68</v>
      </c>
      <c r="AK89" s="155"/>
      <c r="AL89" s="163"/>
      <c r="AM89" s="181"/>
    </row>
    <row r="90" spans="1:40" s="8" customFormat="1" ht="13.5" thickBot="1" x14ac:dyDescent="0.25">
      <c r="A90" s="181"/>
      <c r="B90" s="155"/>
      <c r="C90" s="155"/>
      <c r="D90" s="526"/>
      <c r="E90" s="537"/>
      <c r="F90" s="526"/>
      <c r="G90" s="526"/>
      <c r="H90" s="537"/>
      <c r="I90" s="526"/>
      <c r="J90" s="526"/>
      <c r="K90" s="537"/>
      <c r="L90" s="526"/>
      <c r="M90" s="526"/>
      <c r="N90" s="537"/>
      <c r="O90" s="526"/>
      <c r="P90" s="526"/>
      <c r="Q90" s="537"/>
      <c r="R90" s="526"/>
      <c r="S90" s="526"/>
      <c r="T90" s="537"/>
      <c r="U90" s="526"/>
      <c r="V90" s="526"/>
      <c r="W90" s="537"/>
      <c r="X90" s="526"/>
      <c r="Y90" s="526"/>
      <c r="Z90" s="537"/>
      <c r="AA90" s="526"/>
      <c r="AB90" s="526"/>
      <c r="AC90" s="537"/>
      <c r="AD90" s="526"/>
      <c r="AE90" s="526"/>
      <c r="AF90" s="537"/>
      <c r="AG90" s="526"/>
      <c r="AH90" s="526"/>
      <c r="AI90" s="537"/>
      <c r="AJ90" s="526"/>
      <c r="AK90" s="155"/>
      <c r="AL90" s="163"/>
      <c r="AM90" s="181"/>
    </row>
    <row r="91" spans="1:40" s="8" customFormat="1" ht="5.0999999999999996" customHeight="1" thickBot="1" x14ac:dyDescent="0.25">
      <c r="A91" s="181"/>
      <c r="B91" s="155"/>
      <c r="C91" s="155"/>
      <c r="D91" s="439"/>
      <c r="E91" s="173"/>
      <c r="F91" s="164"/>
      <c r="G91" s="439"/>
      <c r="H91" s="173"/>
      <c r="I91" s="164"/>
      <c r="J91" s="439"/>
      <c r="K91" s="173"/>
      <c r="L91" s="164"/>
      <c r="M91" s="439"/>
      <c r="N91" s="173"/>
      <c r="O91" s="164"/>
      <c r="P91" s="439"/>
      <c r="Q91" s="173"/>
      <c r="R91" s="164"/>
      <c r="S91" s="439"/>
      <c r="T91" s="173"/>
      <c r="U91" s="164"/>
      <c r="V91" s="439"/>
      <c r="W91" s="173"/>
      <c r="X91" s="164"/>
      <c r="Y91" s="439"/>
      <c r="Z91" s="173"/>
      <c r="AA91" s="164"/>
      <c r="AB91" s="439"/>
      <c r="AC91" s="173"/>
      <c r="AD91" s="164"/>
      <c r="AE91" s="439"/>
      <c r="AF91" s="173"/>
      <c r="AG91" s="164"/>
      <c r="AH91" s="439"/>
      <c r="AI91" s="173"/>
      <c r="AJ91" s="164"/>
      <c r="AK91" s="155"/>
      <c r="AL91" s="163"/>
      <c r="AM91" s="181"/>
    </row>
    <row r="92" spans="1:40" s="8" customFormat="1" ht="12.75" customHeight="1" x14ac:dyDescent="0.2">
      <c r="A92" s="181"/>
      <c r="B92" s="155"/>
      <c r="C92" s="155"/>
      <c r="D92" s="439"/>
      <c r="E92" s="540" t="s">
        <v>70</v>
      </c>
      <c r="F92" s="533">
        <v>100</v>
      </c>
      <c r="G92" s="439"/>
      <c r="H92" s="540" t="s">
        <v>70</v>
      </c>
      <c r="I92" s="533"/>
      <c r="J92" s="439"/>
      <c r="K92" s="540" t="s">
        <v>70</v>
      </c>
      <c r="L92" s="533"/>
      <c r="M92" s="439"/>
      <c r="N92" s="540" t="s">
        <v>70</v>
      </c>
      <c r="O92" s="533"/>
      <c r="P92" s="439"/>
      <c r="Q92" s="540" t="s">
        <v>70</v>
      </c>
      <c r="R92" s="533"/>
      <c r="S92" s="439"/>
      <c r="T92" s="540" t="s">
        <v>70</v>
      </c>
      <c r="U92" s="533"/>
      <c r="V92" s="439"/>
      <c r="W92" s="540" t="s">
        <v>70</v>
      </c>
      <c r="X92" s="533"/>
      <c r="Y92" s="439"/>
      <c r="Z92" s="540" t="s">
        <v>70</v>
      </c>
      <c r="AA92" s="533"/>
      <c r="AB92" s="439"/>
      <c r="AC92" s="540" t="s">
        <v>70</v>
      </c>
      <c r="AD92" s="533"/>
      <c r="AE92" s="439"/>
      <c r="AF92" s="540" t="s">
        <v>70</v>
      </c>
      <c r="AG92" s="533"/>
      <c r="AH92" s="439"/>
      <c r="AI92" s="540" t="s">
        <v>70</v>
      </c>
      <c r="AJ92" s="533"/>
      <c r="AK92" s="155"/>
      <c r="AL92" s="163"/>
      <c r="AM92" s="181"/>
    </row>
    <row r="93" spans="1:40" s="8" customFormat="1" ht="13.5" thickBot="1" x14ac:dyDescent="0.25">
      <c r="A93" s="181"/>
      <c r="B93" s="155"/>
      <c r="C93" s="155"/>
      <c r="D93" s="439"/>
      <c r="E93" s="540"/>
      <c r="F93" s="534"/>
      <c r="G93" s="439"/>
      <c r="H93" s="540"/>
      <c r="I93" s="534"/>
      <c r="J93" s="439"/>
      <c r="K93" s="540"/>
      <c r="L93" s="534"/>
      <c r="M93" s="439"/>
      <c r="N93" s="540"/>
      <c r="O93" s="534"/>
      <c r="P93" s="439"/>
      <c r="Q93" s="540"/>
      <c r="R93" s="534"/>
      <c r="S93" s="439"/>
      <c r="T93" s="540"/>
      <c r="U93" s="534"/>
      <c r="V93" s="439"/>
      <c r="W93" s="540"/>
      <c r="X93" s="534"/>
      <c r="Y93" s="439"/>
      <c r="Z93" s="540"/>
      <c r="AA93" s="534"/>
      <c r="AB93" s="439"/>
      <c r="AC93" s="540"/>
      <c r="AD93" s="534"/>
      <c r="AE93" s="439"/>
      <c r="AF93" s="540"/>
      <c r="AG93" s="534"/>
      <c r="AH93" s="439"/>
      <c r="AI93" s="540"/>
      <c r="AJ93" s="534"/>
      <c r="AK93" s="155"/>
      <c r="AL93" s="163"/>
      <c r="AM93" s="181"/>
    </row>
    <row r="94" spans="1:40" s="8" customFormat="1" ht="5.0999999999999996" customHeight="1" thickBot="1" x14ac:dyDescent="0.25">
      <c r="A94" s="181"/>
      <c r="B94" s="155"/>
      <c r="C94" s="155"/>
      <c r="D94" s="165"/>
      <c r="E94" s="173"/>
      <c r="F94" s="164"/>
      <c r="G94" s="165"/>
      <c r="H94" s="173"/>
      <c r="I94" s="164"/>
      <c r="J94" s="165"/>
      <c r="K94" s="173"/>
      <c r="L94" s="164"/>
      <c r="M94" s="165"/>
      <c r="N94" s="173"/>
      <c r="O94" s="164"/>
      <c r="P94" s="438"/>
      <c r="Q94" s="173"/>
      <c r="R94" s="164"/>
      <c r="S94" s="165"/>
      <c r="T94" s="173"/>
      <c r="U94" s="164"/>
      <c r="V94" s="438"/>
      <c r="W94" s="173"/>
      <c r="X94" s="164"/>
      <c r="Y94" s="165"/>
      <c r="Z94" s="173"/>
      <c r="AA94" s="173"/>
      <c r="AB94" s="173"/>
      <c r="AC94" s="173"/>
      <c r="AD94" s="164"/>
      <c r="AE94" s="412"/>
      <c r="AF94" s="173"/>
      <c r="AG94" s="173"/>
      <c r="AH94" s="173"/>
      <c r="AI94" s="173"/>
      <c r="AJ94" s="164"/>
      <c r="AK94" s="155"/>
      <c r="AL94" s="163"/>
      <c r="AM94" s="181"/>
    </row>
    <row r="95" spans="1:40" ht="24.95" customHeight="1" thickBot="1" x14ac:dyDescent="0.25">
      <c r="A95" s="181"/>
      <c r="B95" s="154"/>
      <c r="C95" s="154"/>
      <c r="D95" s="157"/>
      <c r="E95" s="538" t="str">
        <f>E9</f>
        <v xml:space="preserve">CAIXA 1 </v>
      </c>
      <c r="F95" s="539"/>
      <c r="G95" s="154"/>
      <c r="H95" s="538" t="str">
        <f>H9</f>
        <v>CAIXA 2</v>
      </c>
      <c r="I95" s="539"/>
      <c r="J95" s="161"/>
      <c r="K95" s="538" t="str">
        <f>K9</f>
        <v xml:space="preserve">CAIXA 3 </v>
      </c>
      <c r="L95" s="539"/>
      <c r="M95" s="154"/>
      <c r="N95" s="538" t="str">
        <f>N9</f>
        <v xml:space="preserve">CAIXA 4 </v>
      </c>
      <c r="O95" s="539"/>
      <c r="P95" s="161"/>
      <c r="Q95" s="538" t="str">
        <f>Q9</f>
        <v xml:space="preserve">CAIXA 5 </v>
      </c>
      <c r="R95" s="539"/>
      <c r="S95" s="154"/>
      <c r="T95" s="538" t="str">
        <f>T9</f>
        <v xml:space="preserve">CAIXA 6 </v>
      </c>
      <c r="U95" s="539"/>
      <c r="V95" s="161"/>
      <c r="W95" s="538" t="str">
        <f>W9</f>
        <v xml:space="preserve">CAIXA 7 </v>
      </c>
      <c r="X95" s="539"/>
      <c r="Y95" s="154"/>
      <c r="Z95" s="538" t="str">
        <f>Z9</f>
        <v>CAIXA 9</v>
      </c>
      <c r="AA95" s="539"/>
      <c r="AB95" s="161"/>
      <c r="AC95" s="538" t="str">
        <f>AC9</f>
        <v xml:space="preserve">CAIXA 10 </v>
      </c>
      <c r="AD95" s="539"/>
      <c r="AE95" s="154"/>
      <c r="AF95" s="538" t="str">
        <f>AF9</f>
        <v xml:space="preserve">CAIXA 11 </v>
      </c>
      <c r="AG95" s="539"/>
      <c r="AH95" s="161"/>
      <c r="AI95" s="538" t="str">
        <f>AI9</f>
        <v>CAIXA 12</v>
      </c>
      <c r="AJ95" s="539"/>
      <c r="AK95" s="154"/>
      <c r="AL95" s="153"/>
      <c r="AM95" s="109"/>
      <c r="AN95" s="2"/>
    </row>
    <row r="96" spans="1:40" ht="5.0999999999999996" customHeight="1" thickBot="1" x14ac:dyDescent="0.25">
      <c r="A96" s="181"/>
      <c r="B96" s="154"/>
      <c r="C96" s="154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3"/>
      <c r="AM96" s="109"/>
      <c r="AN96" s="2"/>
    </row>
    <row r="97" spans="1:40" ht="12.75" customHeight="1" x14ac:dyDescent="0.2">
      <c r="A97" s="181"/>
      <c r="B97" s="154"/>
      <c r="C97" s="154"/>
      <c r="D97" s="154"/>
      <c r="E97" s="541" t="str">
        <f>E11</f>
        <v>FERNANDA</v>
      </c>
      <c r="F97" s="542"/>
      <c r="G97" s="154"/>
      <c r="H97" s="541" t="str">
        <f>H11</f>
        <v>SONIA</v>
      </c>
      <c r="I97" s="542"/>
      <c r="J97" s="154"/>
      <c r="K97" s="504" t="str">
        <f>K11</f>
        <v>KATIA</v>
      </c>
      <c r="L97" s="505"/>
      <c r="M97" s="154"/>
      <c r="N97" s="541" t="str">
        <f>N11</f>
        <v>ARLENE</v>
      </c>
      <c r="O97" s="542"/>
      <c r="P97" s="154"/>
      <c r="Q97" s="504">
        <f>Q11</f>
        <v>0</v>
      </c>
      <c r="R97" s="505"/>
      <c r="S97" s="154"/>
      <c r="T97" s="541">
        <f>T11</f>
        <v>0</v>
      </c>
      <c r="U97" s="542"/>
      <c r="V97" s="154"/>
      <c r="W97" s="504">
        <f>W11</f>
        <v>0</v>
      </c>
      <c r="X97" s="505"/>
      <c r="Y97" s="154"/>
      <c r="Z97" s="541">
        <f>Z11</f>
        <v>0</v>
      </c>
      <c r="AA97" s="542"/>
      <c r="AB97" s="154"/>
      <c r="AC97" s="504">
        <f>AC11</f>
        <v>0</v>
      </c>
      <c r="AD97" s="505"/>
      <c r="AE97" s="154"/>
      <c r="AF97" s="541">
        <f>AF11</f>
        <v>0</v>
      </c>
      <c r="AG97" s="542"/>
      <c r="AH97" s="154"/>
      <c r="AI97" s="504">
        <f>AI11</f>
        <v>0</v>
      </c>
      <c r="AJ97" s="505"/>
      <c r="AK97" s="154"/>
      <c r="AL97" s="153"/>
      <c r="AM97" s="109"/>
      <c r="AN97" s="2"/>
    </row>
    <row r="98" spans="1:40" s="6" customFormat="1" ht="13.5" thickBot="1" x14ac:dyDescent="0.25">
      <c r="A98" s="180"/>
      <c r="B98" s="155"/>
      <c r="C98" s="155"/>
      <c r="D98" s="155"/>
      <c r="E98" s="543"/>
      <c r="F98" s="544"/>
      <c r="G98" s="161"/>
      <c r="H98" s="543"/>
      <c r="I98" s="544"/>
      <c r="J98" s="161"/>
      <c r="K98" s="506"/>
      <c r="L98" s="507"/>
      <c r="M98" s="161"/>
      <c r="N98" s="543"/>
      <c r="O98" s="544"/>
      <c r="P98" s="161"/>
      <c r="Q98" s="506"/>
      <c r="R98" s="507"/>
      <c r="S98" s="161"/>
      <c r="T98" s="543"/>
      <c r="U98" s="544"/>
      <c r="V98" s="161"/>
      <c r="W98" s="506"/>
      <c r="X98" s="507"/>
      <c r="Y98" s="161"/>
      <c r="Z98" s="543"/>
      <c r="AA98" s="544"/>
      <c r="AB98" s="161"/>
      <c r="AC98" s="506"/>
      <c r="AD98" s="507"/>
      <c r="AE98" s="161"/>
      <c r="AF98" s="543"/>
      <c r="AG98" s="544"/>
      <c r="AH98" s="161"/>
      <c r="AI98" s="506"/>
      <c r="AJ98" s="507"/>
      <c r="AK98" s="155"/>
      <c r="AL98" s="179"/>
      <c r="AM98" s="180"/>
    </row>
    <row r="99" spans="1:40" ht="13.5" thickBot="1" x14ac:dyDescent="0.25">
      <c r="A99" s="181"/>
      <c r="B99" s="155"/>
      <c r="C99" s="155"/>
      <c r="D99" s="165"/>
      <c r="E99" s="164"/>
      <c r="F99" s="164"/>
      <c r="G99" s="165"/>
      <c r="H99" s="164"/>
      <c r="I99" s="164"/>
      <c r="J99" s="165"/>
      <c r="K99" s="164"/>
      <c r="L99" s="164"/>
      <c r="M99" s="165"/>
      <c r="N99" s="164"/>
      <c r="O99" s="164"/>
      <c r="P99" s="164"/>
      <c r="Q99" s="164"/>
      <c r="R99" s="164"/>
      <c r="S99" s="165"/>
      <c r="T99" s="164"/>
      <c r="U99" s="164"/>
      <c r="V99" s="164"/>
      <c r="W99" s="164"/>
      <c r="X99" s="164"/>
      <c r="Y99" s="165"/>
      <c r="Z99" s="164"/>
      <c r="AA99" s="164"/>
      <c r="AB99" s="164"/>
      <c r="AC99" s="164"/>
      <c r="AD99" s="164"/>
      <c r="AE99" s="412"/>
      <c r="AF99" s="164"/>
      <c r="AG99" s="164"/>
      <c r="AH99" s="164"/>
      <c r="AI99" s="164"/>
      <c r="AJ99" s="164"/>
      <c r="AK99" s="155"/>
      <c r="AL99" s="163"/>
      <c r="AM99" s="181"/>
    </row>
    <row r="100" spans="1:40" ht="12.75" customHeight="1" thickBot="1" x14ac:dyDescent="0.25">
      <c r="A100" s="181"/>
      <c r="B100" s="154"/>
      <c r="C100" s="132"/>
      <c r="D100" s="133"/>
      <c r="E100" s="133"/>
      <c r="F100" s="134"/>
      <c r="G100" s="134"/>
      <c r="H100" s="135"/>
      <c r="I100" s="170"/>
      <c r="J100" s="561" t="s">
        <v>0</v>
      </c>
      <c r="K100" s="562"/>
      <c r="L100" s="562"/>
      <c r="M100" s="562"/>
      <c r="N100" s="563"/>
      <c r="O100" s="155"/>
      <c r="P100" s="561" t="s">
        <v>108</v>
      </c>
      <c r="Q100" s="562"/>
      <c r="R100" s="562"/>
      <c r="S100" s="562"/>
      <c r="T100" s="563"/>
      <c r="U100" s="155"/>
      <c r="V100" s="155"/>
      <c r="W100" s="155"/>
      <c r="X100" s="155"/>
      <c r="Y100" s="155"/>
      <c r="Z100" s="155"/>
      <c r="AA100" s="155"/>
      <c r="AB100" s="155"/>
      <c r="AC100" s="155"/>
      <c r="AD100" s="155"/>
      <c r="AE100" s="155"/>
      <c r="AF100" s="155"/>
      <c r="AG100" s="155"/>
      <c r="AH100" s="155"/>
      <c r="AI100" s="155"/>
      <c r="AJ100" s="155"/>
      <c r="AK100" s="155"/>
      <c r="AL100" s="163"/>
      <c r="AM100" s="181"/>
    </row>
    <row r="101" spans="1:40" ht="13.5" customHeight="1" thickBot="1" x14ac:dyDescent="0.25">
      <c r="A101" s="181"/>
      <c r="B101" s="154"/>
      <c r="C101" s="136"/>
      <c r="D101" s="553" t="s">
        <v>14</v>
      </c>
      <c r="E101" s="554"/>
      <c r="F101" s="575">
        <f>E75+H75+K75+N75+Q75+T75+W75+Z75+AC75+AF75+AI75</f>
        <v>8000</v>
      </c>
      <c r="G101" s="576"/>
      <c r="H101" s="137"/>
      <c r="I101" s="170"/>
      <c r="J101" s="564"/>
      <c r="K101" s="565"/>
      <c r="L101" s="565"/>
      <c r="M101" s="565"/>
      <c r="N101" s="566"/>
      <c r="O101" s="155"/>
      <c r="P101" s="564"/>
      <c r="Q101" s="565"/>
      <c r="R101" s="565"/>
      <c r="S101" s="565"/>
      <c r="T101" s="566"/>
      <c r="U101" s="155"/>
      <c r="V101" s="155"/>
      <c r="W101" s="155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63"/>
      <c r="AM101" s="181"/>
    </row>
    <row r="102" spans="1:40" ht="15.75" customHeight="1" thickBot="1" x14ac:dyDescent="0.25">
      <c r="A102" s="181"/>
      <c r="B102" s="154"/>
      <c r="C102" s="136"/>
      <c r="D102" s="555"/>
      <c r="E102" s="556"/>
      <c r="F102" s="577"/>
      <c r="G102" s="578"/>
      <c r="H102" s="137"/>
      <c r="I102" s="170"/>
      <c r="J102" s="171"/>
      <c r="K102" s="171"/>
      <c r="L102" s="171"/>
      <c r="M102" s="171"/>
      <c r="N102" s="155"/>
      <c r="O102" s="155"/>
      <c r="P102" s="171"/>
      <c r="Q102" s="171"/>
      <c r="R102" s="171"/>
      <c r="S102" s="171"/>
      <c r="T102" s="155"/>
      <c r="U102" s="155"/>
      <c r="V102" s="155"/>
      <c r="W102" s="155"/>
      <c r="X102" s="155"/>
      <c r="Y102" s="155"/>
      <c r="Z102" s="155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63"/>
      <c r="AM102" s="181"/>
    </row>
    <row r="103" spans="1:40" ht="13.5" customHeight="1" thickBot="1" x14ac:dyDescent="0.25">
      <c r="A103" s="181"/>
      <c r="B103" s="154"/>
      <c r="C103" s="136"/>
      <c r="D103" s="138"/>
      <c r="E103" s="138"/>
      <c r="F103" s="139"/>
      <c r="G103" s="139"/>
      <c r="H103" s="140"/>
      <c r="I103" s="166"/>
      <c r="J103" s="527" t="s">
        <v>110</v>
      </c>
      <c r="K103" s="527"/>
      <c r="L103" s="527"/>
      <c r="M103" s="528"/>
      <c r="N103" s="426" t="s">
        <v>1</v>
      </c>
      <c r="O103" s="166"/>
      <c r="P103" s="527" t="s">
        <v>109</v>
      </c>
      <c r="Q103" s="527"/>
      <c r="R103" s="527"/>
      <c r="S103" s="528"/>
      <c r="T103" s="426" t="s">
        <v>1</v>
      </c>
      <c r="U103" s="167"/>
      <c r="V103" s="167"/>
      <c r="W103" s="167"/>
      <c r="X103" s="166"/>
      <c r="Y103" s="155"/>
      <c r="Z103" s="167"/>
      <c r="AA103" s="167"/>
      <c r="AB103" s="167"/>
      <c r="AC103" s="167"/>
      <c r="AD103" s="166"/>
      <c r="AE103" s="155"/>
      <c r="AF103" s="167"/>
      <c r="AG103" s="167"/>
      <c r="AH103" s="167"/>
      <c r="AI103" s="167"/>
      <c r="AJ103" s="166"/>
      <c r="AK103" s="155"/>
      <c r="AL103" s="163"/>
      <c r="AM103" s="181"/>
    </row>
    <row r="104" spans="1:40" x14ac:dyDescent="0.2">
      <c r="A104" s="181"/>
      <c r="B104" s="154"/>
      <c r="C104" s="136"/>
      <c r="D104" s="553" t="s">
        <v>90</v>
      </c>
      <c r="E104" s="554"/>
      <c r="F104" s="557">
        <f>(N125+T125)*-1</f>
        <v>-100</v>
      </c>
      <c r="G104" s="558"/>
      <c r="H104" s="141"/>
      <c r="I104" s="170"/>
      <c r="J104" s="572" t="s">
        <v>125</v>
      </c>
      <c r="K104" s="573"/>
      <c r="L104" s="573"/>
      <c r="M104" s="574"/>
      <c r="N104" s="431">
        <v>100</v>
      </c>
      <c r="O104" s="155"/>
      <c r="P104" s="567"/>
      <c r="Q104" s="568"/>
      <c r="R104" s="568"/>
      <c r="S104" s="569"/>
      <c r="T104" s="486"/>
      <c r="U104" s="155"/>
      <c r="V104" s="155"/>
      <c r="W104" s="155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63"/>
      <c r="AM104" s="181"/>
    </row>
    <row r="105" spans="1:40" ht="13.5" thickBot="1" x14ac:dyDescent="0.25">
      <c r="A105" s="181"/>
      <c r="B105" s="154"/>
      <c r="C105" s="136"/>
      <c r="D105" s="555"/>
      <c r="E105" s="556"/>
      <c r="F105" s="559"/>
      <c r="G105" s="560"/>
      <c r="H105" s="137"/>
      <c r="I105" s="170"/>
      <c r="J105" s="517"/>
      <c r="K105" s="518"/>
      <c r="L105" s="518"/>
      <c r="M105" s="519"/>
      <c r="N105" s="427"/>
      <c r="O105" s="155"/>
      <c r="P105" s="511"/>
      <c r="Q105" s="512"/>
      <c r="R105" s="512"/>
      <c r="S105" s="513"/>
      <c r="T105" s="490"/>
      <c r="U105" s="155"/>
      <c r="V105" s="155"/>
      <c r="W105" s="155"/>
      <c r="X105" s="155"/>
      <c r="Y105" s="155"/>
      <c r="Z105" s="155"/>
      <c r="AA105" s="155"/>
      <c r="AB105" s="155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63"/>
      <c r="AM105" s="181"/>
    </row>
    <row r="106" spans="1:40" ht="12.75" customHeight="1" thickBot="1" x14ac:dyDescent="0.25">
      <c r="A106" s="181"/>
      <c r="B106" s="154"/>
      <c r="C106" s="136"/>
      <c r="D106" s="138"/>
      <c r="E106" s="138"/>
      <c r="F106" s="139"/>
      <c r="G106" s="139"/>
      <c r="H106" s="140"/>
      <c r="I106" s="166"/>
      <c r="J106" s="520"/>
      <c r="K106" s="521"/>
      <c r="L106" s="521"/>
      <c r="M106" s="522"/>
      <c r="N106" s="428"/>
      <c r="O106" s="495"/>
      <c r="P106" s="508"/>
      <c r="Q106" s="509"/>
      <c r="R106" s="509"/>
      <c r="S106" s="510"/>
      <c r="T106" s="487"/>
      <c r="U106" s="167"/>
      <c r="V106" s="167"/>
      <c r="W106" s="167"/>
      <c r="X106" s="166"/>
      <c r="Y106" s="155"/>
      <c r="Z106" s="167"/>
      <c r="AA106" s="167"/>
      <c r="AB106" s="167"/>
      <c r="AC106" s="167"/>
      <c r="AD106" s="166"/>
      <c r="AE106" s="155"/>
      <c r="AF106" s="167"/>
      <c r="AG106" s="167"/>
      <c r="AH106" s="167"/>
      <c r="AI106" s="167"/>
      <c r="AJ106" s="166"/>
      <c r="AK106" s="155"/>
      <c r="AL106" s="163"/>
      <c r="AM106" s="181"/>
    </row>
    <row r="107" spans="1:40" ht="12.75" customHeight="1" x14ac:dyDescent="0.2">
      <c r="A107" s="181"/>
      <c r="B107" s="154"/>
      <c r="C107" s="136"/>
      <c r="D107" s="553" t="s">
        <v>15</v>
      </c>
      <c r="E107" s="554"/>
      <c r="F107" s="557">
        <f>F101+F104</f>
        <v>7900</v>
      </c>
      <c r="G107" s="558"/>
      <c r="H107" s="137"/>
      <c r="I107" s="170" t="s">
        <v>26</v>
      </c>
      <c r="J107" s="517"/>
      <c r="K107" s="518"/>
      <c r="L107" s="518"/>
      <c r="M107" s="519"/>
      <c r="N107" s="427"/>
      <c r="O107" s="495"/>
      <c r="P107" s="511"/>
      <c r="Q107" s="512"/>
      <c r="R107" s="512"/>
      <c r="S107" s="513"/>
      <c r="T107" s="490"/>
      <c r="U107" s="155"/>
      <c r="V107" s="155"/>
      <c r="W107" s="155"/>
      <c r="X107" s="155"/>
      <c r="Y107" s="155"/>
      <c r="Z107" s="155"/>
      <c r="AA107" s="155"/>
      <c r="AB107" s="155"/>
      <c r="AC107" s="155"/>
      <c r="AD107" s="155"/>
      <c r="AE107" s="155"/>
      <c r="AF107" s="155"/>
      <c r="AG107" s="155"/>
      <c r="AH107" s="155"/>
      <c r="AI107" s="155"/>
      <c r="AJ107" s="155"/>
      <c r="AK107" s="155"/>
      <c r="AL107" s="163"/>
      <c r="AM107" s="181"/>
    </row>
    <row r="108" spans="1:40" ht="12.75" customHeight="1" thickBot="1" x14ac:dyDescent="0.25">
      <c r="A108" s="181"/>
      <c r="B108" s="154"/>
      <c r="C108" s="136"/>
      <c r="D108" s="555"/>
      <c r="E108" s="556"/>
      <c r="F108" s="559"/>
      <c r="G108" s="560"/>
      <c r="H108" s="141"/>
      <c r="I108" s="170"/>
      <c r="J108" s="520"/>
      <c r="K108" s="521"/>
      <c r="L108" s="521"/>
      <c r="M108" s="522"/>
      <c r="N108" s="428"/>
      <c r="O108" s="155" t="s">
        <v>26</v>
      </c>
      <c r="P108" s="508"/>
      <c r="Q108" s="509"/>
      <c r="R108" s="509"/>
      <c r="S108" s="510"/>
      <c r="T108" s="487"/>
      <c r="U108" s="155"/>
      <c r="V108" s="155"/>
      <c r="W108" s="155"/>
      <c r="X108" s="155"/>
      <c r="Y108" s="155"/>
      <c r="Z108" s="155"/>
      <c r="AA108" s="155"/>
      <c r="AB108" s="155"/>
      <c r="AC108" s="155"/>
      <c r="AD108" s="155"/>
      <c r="AE108" s="155"/>
      <c r="AF108" s="155"/>
      <c r="AG108" s="155"/>
      <c r="AH108" s="155"/>
      <c r="AI108" s="155"/>
      <c r="AJ108" s="155"/>
      <c r="AK108" s="155"/>
      <c r="AL108" s="163"/>
      <c r="AM108" s="181"/>
    </row>
    <row r="109" spans="1:40" ht="12.75" customHeight="1" thickBot="1" x14ac:dyDescent="0.25">
      <c r="A109" s="181"/>
      <c r="B109" s="154"/>
      <c r="C109" s="136"/>
      <c r="D109" s="138"/>
      <c r="E109" s="138"/>
      <c r="F109" s="139"/>
      <c r="G109" s="139"/>
      <c r="H109" s="140"/>
      <c r="I109" s="166"/>
      <c r="J109" s="517"/>
      <c r="K109" s="518"/>
      <c r="L109" s="518"/>
      <c r="M109" s="519"/>
      <c r="N109" s="427"/>
      <c r="O109" s="166"/>
      <c r="P109" s="511"/>
      <c r="Q109" s="512"/>
      <c r="R109" s="512"/>
      <c r="S109" s="513"/>
      <c r="T109" s="490"/>
      <c r="U109" s="167"/>
      <c r="V109" s="167"/>
      <c r="W109" s="167"/>
      <c r="X109" s="166"/>
      <c r="Y109" s="155"/>
      <c r="Z109" s="167"/>
      <c r="AA109" s="167"/>
      <c r="AB109" s="167"/>
      <c r="AC109" s="167"/>
      <c r="AD109" s="166"/>
      <c r="AE109" s="155"/>
      <c r="AF109" s="167"/>
      <c r="AG109" s="167"/>
      <c r="AH109" s="167"/>
      <c r="AI109" s="167"/>
      <c r="AJ109" s="166"/>
      <c r="AK109" s="155"/>
      <c r="AL109" s="163"/>
      <c r="AM109" s="181"/>
    </row>
    <row r="110" spans="1:40" ht="12.75" customHeight="1" x14ac:dyDescent="0.2">
      <c r="A110" s="181"/>
      <c r="B110" s="154"/>
      <c r="C110" s="136"/>
      <c r="D110" s="553" t="s">
        <v>39</v>
      </c>
      <c r="E110" s="554"/>
      <c r="F110" s="557">
        <f>'Carro Forte'!T37</f>
        <v>3000</v>
      </c>
      <c r="G110" s="558"/>
      <c r="H110" s="142"/>
      <c r="I110" s="168"/>
      <c r="J110" s="520"/>
      <c r="K110" s="521"/>
      <c r="L110" s="521"/>
      <c r="M110" s="522"/>
      <c r="N110" s="428"/>
      <c r="O110" s="168"/>
      <c r="P110" s="508"/>
      <c r="Q110" s="509"/>
      <c r="R110" s="509"/>
      <c r="S110" s="510"/>
      <c r="T110" s="487"/>
      <c r="U110" s="169"/>
      <c r="V110" s="169"/>
      <c r="W110" s="169"/>
      <c r="X110" s="168"/>
      <c r="Y110" s="155"/>
      <c r="Z110" s="169"/>
      <c r="AA110" s="169"/>
      <c r="AB110" s="169"/>
      <c r="AC110" s="169"/>
      <c r="AD110" s="168"/>
      <c r="AE110" s="155"/>
      <c r="AF110" s="169"/>
      <c r="AG110" s="169"/>
      <c r="AH110" s="169"/>
      <c r="AI110" s="169"/>
      <c r="AJ110" s="168"/>
      <c r="AK110" s="155"/>
      <c r="AL110" s="163"/>
      <c r="AM110" s="181"/>
    </row>
    <row r="111" spans="1:40" ht="12.75" customHeight="1" thickBot="1" x14ac:dyDescent="0.25">
      <c r="A111" s="181"/>
      <c r="B111" s="154"/>
      <c r="C111" s="136"/>
      <c r="D111" s="555"/>
      <c r="E111" s="556"/>
      <c r="F111" s="559"/>
      <c r="G111" s="560"/>
      <c r="H111" s="143"/>
      <c r="I111" s="166"/>
      <c r="J111" s="517"/>
      <c r="K111" s="518"/>
      <c r="L111" s="518"/>
      <c r="M111" s="519"/>
      <c r="N111" s="427"/>
      <c r="O111" s="166"/>
      <c r="P111" s="511"/>
      <c r="Q111" s="512"/>
      <c r="R111" s="512"/>
      <c r="S111" s="513"/>
      <c r="T111" s="490"/>
      <c r="U111" s="167"/>
      <c r="V111" s="167"/>
      <c r="W111" s="167"/>
      <c r="X111" s="166"/>
      <c r="Y111" s="155"/>
      <c r="Z111" s="167"/>
      <c r="AA111" s="167"/>
      <c r="AB111" s="167"/>
      <c r="AC111" s="167"/>
      <c r="AD111" s="166"/>
      <c r="AE111" s="155"/>
      <c r="AF111" s="167"/>
      <c r="AG111" s="167"/>
      <c r="AH111" s="167"/>
      <c r="AI111" s="167"/>
      <c r="AJ111" s="166"/>
      <c r="AK111" s="155"/>
      <c r="AL111" s="163"/>
      <c r="AM111" s="181"/>
    </row>
    <row r="112" spans="1:40" ht="12.75" customHeight="1" thickBot="1" x14ac:dyDescent="0.25">
      <c r="A112" s="181"/>
      <c r="B112" s="154"/>
      <c r="C112" s="136"/>
      <c r="D112" s="144"/>
      <c r="E112" s="144"/>
      <c r="F112" s="145"/>
      <c r="G112" s="145"/>
      <c r="H112" s="143"/>
      <c r="I112" s="166"/>
      <c r="J112" s="520"/>
      <c r="K112" s="521"/>
      <c r="L112" s="521"/>
      <c r="M112" s="522"/>
      <c r="N112" s="428"/>
      <c r="O112" s="166"/>
      <c r="P112" s="508"/>
      <c r="Q112" s="509"/>
      <c r="R112" s="509"/>
      <c r="S112" s="510"/>
      <c r="T112" s="487"/>
      <c r="U112" s="167"/>
      <c r="V112" s="167"/>
      <c r="W112" s="167"/>
      <c r="X112" s="166"/>
      <c r="Y112" s="155"/>
      <c r="Z112" s="167"/>
      <c r="AA112" s="167"/>
      <c r="AB112" s="167"/>
      <c r="AC112" s="167"/>
      <c r="AD112" s="166"/>
      <c r="AE112" s="155"/>
      <c r="AF112" s="167"/>
      <c r="AG112" s="167"/>
      <c r="AH112" s="167"/>
      <c r="AI112" s="167"/>
      <c r="AJ112" s="166"/>
      <c r="AK112" s="155"/>
      <c r="AL112" s="163"/>
      <c r="AM112" s="181"/>
    </row>
    <row r="113" spans="1:39" ht="12.75" customHeight="1" x14ac:dyDescent="0.2">
      <c r="A113" s="181"/>
      <c r="B113" s="154"/>
      <c r="C113" s="136"/>
      <c r="D113" s="553" t="s">
        <v>45</v>
      </c>
      <c r="E113" s="554"/>
      <c r="F113" s="557">
        <f>'Carro Forte'!T23</f>
        <v>0</v>
      </c>
      <c r="G113" s="558"/>
      <c r="H113" s="143"/>
      <c r="I113" s="166"/>
      <c r="J113" s="517"/>
      <c r="K113" s="518"/>
      <c r="L113" s="518"/>
      <c r="M113" s="519"/>
      <c r="N113" s="427"/>
      <c r="O113" s="166"/>
      <c r="P113" s="511"/>
      <c r="Q113" s="512"/>
      <c r="R113" s="512"/>
      <c r="S113" s="513"/>
      <c r="T113" s="490"/>
      <c r="U113" s="167"/>
      <c r="V113" s="167"/>
      <c r="W113" s="167"/>
      <c r="X113" s="166"/>
      <c r="Y113" s="155"/>
      <c r="Z113" s="167"/>
      <c r="AA113" s="167"/>
      <c r="AB113" s="167"/>
      <c r="AC113" s="167"/>
      <c r="AD113" s="166"/>
      <c r="AE113" s="155"/>
      <c r="AF113" s="167"/>
      <c r="AG113" s="167"/>
      <c r="AH113" s="167"/>
      <c r="AI113" s="167"/>
      <c r="AJ113" s="166"/>
      <c r="AK113" s="155"/>
      <c r="AL113" s="163"/>
      <c r="AM113" s="181"/>
    </row>
    <row r="114" spans="1:39" ht="12.75" customHeight="1" thickBot="1" x14ac:dyDescent="0.25">
      <c r="A114" s="181"/>
      <c r="B114" s="154"/>
      <c r="C114" s="136"/>
      <c r="D114" s="555"/>
      <c r="E114" s="556"/>
      <c r="F114" s="559"/>
      <c r="G114" s="560"/>
      <c r="H114" s="140"/>
      <c r="I114" s="166"/>
      <c r="J114" s="520"/>
      <c r="K114" s="521"/>
      <c r="L114" s="521"/>
      <c r="M114" s="522"/>
      <c r="N114" s="428"/>
      <c r="O114" s="166"/>
      <c r="P114" s="508"/>
      <c r="Q114" s="509"/>
      <c r="R114" s="509"/>
      <c r="S114" s="510"/>
      <c r="T114" s="487"/>
      <c r="U114" s="167"/>
      <c r="V114" s="167"/>
      <c r="W114" s="167"/>
      <c r="X114" s="166"/>
      <c r="Y114" s="155"/>
      <c r="Z114" s="167"/>
      <c r="AA114" s="167"/>
      <c r="AB114" s="167"/>
      <c r="AC114" s="167"/>
      <c r="AD114" s="166"/>
      <c r="AE114" s="155"/>
      <c r="AF114" s="167"/>
      <c r="AG114" s="167"/>
      <c r="AH114" s="167"/>
      <c r="AI114" s="167"/>
      <c r="AJ114" s="166"/>
      <c r="AK114" s="155"/>
      <c r="AL114" s="163"/>
      <c r="AM114" s="181"/>
    </row>
    <row r="115" spans="1:39" ht="12.75" customHeight="1" thickBot="1" x14ac:dyDescent="0.25">
      <c r="A115" s="181"/>
      <c r="B115" s="154"/>
      <c r="C115" s="136"/>
      <c r="D115" s="138"/>
      <c r="E115" s="138"/>
      <c r="F115" s="139"/>
      <c r="G115" s="139"/>
      <c r="H115" s="140"/>
      <c r="I115" s="166" t="s">
        <v>26</v>
      </c>
      <c r="J115" s="517"/>
      <c r="K115" s="518"/>
      <c r="L115" s="518"/>
      <c r="M115" s="519"/>
      <c r="N115" s="429"/>
      <c r="O115" s="166"/>
      <c r="P115" s="511"/>
      <c r="Q115" s="512"/>
      <c r="R115" s="512"/>
      <c r="S115" s="513"/>
      <c r="T115" s="491"/>
      <c r="U115" s="167"/>
      <c r="V115" s="167"/>
      <c r="W115" s="167"/>
      <c r="X115" s="166"/>
      <c r="Y115" s="155"/>
      <c r="Z115" s="167"/>
      <c r="AA115" s="167"/>
      <c r="AB115" s="167"/>
      <c r="AC115" s="167"/>
      <c r="AD115" s="166"/>
      <c r="AE115" s="155"/>
      <c r="AF115" s="167"/>
      <c r="AG115" s="167"/>
      <c r="AH115" s="167"/>
      <c r="AI115" s="167"/>
      <c r="AJ115" s="166"/>
      <c r="AK115" s="155"/>
      <c r="AL115" s="163"/>
      <c r="AM115" s="181"/>
    </row>
    <row r="116" spans="1:39" ht="12.75" customHeight="1" x14ac:dyDescent="0.2">
      <c r="A116" s="181"/>
      <c r="B116" s="154"/>
      <c r="C116" s="136"/>
      <c r="D116" s="553" t="s">
        <v>11</v>
      </c>
      <c r="E116" s="554"/>
      <c r="F116" s="557">
        <f>'Carro Forte'!AS37</f>
        <v>5000</v>
      </c>
      <c r="G116" s="558"/>
      <c r="H116" s="142"/>
      <c r="I116" s="168"/>
      <c r="J116" s="520"/>
      <c r="K116" s="521"/>
      <c r="L116" s="521"/>
      <c r="M116" s="522"/>
      <c r="N116" s="124"/>
      <c r="O116" s="168"/>
      <c r="P116" s="508"/>
      <c r="Q116" s="509"/>
      <c r="R116" s="509"/>
      <c r="S116" s="510"/>
      <c r="T116" s="488"/>
      <c r="U116" s="169"/>
      <c r="V116" s="169"/>
      <c r="W116" s="169"/>
      <c r="X116" s="168"/>
      <c r="Y116" s="155"/>
      <c r="Z116" s="169"/>
      <c r="AA116" s="169"/>
      <c r="AB116" s="169"/>
      <c r="AC116" s="169"/>
      <c r="AD116" s="168"/>
      <c r="AE116" s="155"/>
      <c r="AF116" s="169"/>
      <c r="AG116" s="169"/>
      <c r="AH116" s="169"/>
      <c r="AI116" s="169"/>
      <c r="AJ116" s="168"/>
      <c r="AK116" s="155"/>
      <c r="AL116" s="163"/>
      <c r="AM116" s="181"/>
    </row>
    <row r="117" spans="1:39" ht="12.75" customHeight="1" thickBot="1" x14ac:dyDescent="0.25">
      <c r="A117" s="181"/>
      <c r="B117" s="154"/>
      <c r="C117" s="136"/>
      <c r="D117" s="555"/>
      <c r="E117" s="556"/>
      <c r="F117" s="559"/>
      <c r="G117" s="560"/>
      <c r="H117" s="140"/>
      <c r="I117" s="166"/>
      <c r="J117" s="517"/>
      <c r="K117" s="518"/>
      <c r="L117" s="518"/>
      <c r="M117" s="519"/>
      <c r="N117" s="429"/>
      <c r="O117" s="166"/>
      <c r="P117" s="511"/>
      <c r="Q117" s="512"/>
      <c r="R117" s="512"/>
      <c r="S117" s="513"/>
      <c r="T117" s="491"/>
      <c r="U117" s="167"/>
      <c r="V117" s="167"/>
      <c r="W117" s="167"/>
      <c r="X117" s="166"/>
      <c r="Y117" s="155"/>
      <c r="Z117" s="167"/>
      <c r="AA117" s="167"/>
      <c r="AB117" s="167"/>
      <c r="AC117" s="167"/>
      <c r="AD117" s="166"/>
      <c r="AE117" s="155"/>
      <c r="AF117" s="167"/>
      <c r="AG117" s="167"/>
      <c r="AH117" s="167"/>
      <c r="AI117" s="167"/>
      <c r="AJ117" s="166"/>
      <c r="AK117" s="155"/>
      <c r="AL117" s="163"/>
      <c r="AM117" s="181"/>
    </row>
    <row r="118" spans="1:39" ht="12.75" customHeight="1" thickBot="1" x14ac:dyDescent="0.25">
      <c r="A118" s="181"/>
      <c r="B118" s="154"/>
      <c r="C118" s="136"/>
      <c r="D118" s="144"/>
      <c r="E118" s="144"/>
      <c r="F118" s="145"/>
      <c r="G118" s="146">
        <f>F110-F113+F116</f>
        <v>8000</v>
      </c>
      <c r="H118" s="140" t="s">
        <v>47</v>
      </c>
      <c r="I118" s="166"/>
      <c r="J118" s="520"/>
      <c r="K118" s="521"/>
      <c r="L118" s="521"/>
      <c r="M118" s="522"/>
      <c r="N118" s="124"/>
      <c r="O118" s="166"/>
      <c r="P118" s="508"/>
      <c r="Q118" s="509"/>
      <c r="R118" s="509"/>
      <c r="S118" s="510"/>
      <c r="T118" s="488"/>
      <c r="U118" s="167"/>
      <c r="V118" s="167"/>
      <c r="W118" s="167"/>
      <c r="X118" s="166"/>
      <c r="Y118" s="155"/>
      <c r="Z118" s="167"/>
      <c r="AA118" s="167"/>
      <c r="AB118" s="167"/>
      <c r="AC118" s="167"/>
      <c r="AD118" s="166"/>
      <c r="AE118" s="155"/>
      <c r="AF118" s="167"/>
      <c r="AG118" s="167"/>
      <c r="AH118" s="167"/>
      <c r="AI118" s="167"/>
      <c r="AJ118" s="166"/>
      <c r="AK118" s="155"/>
      <c r="AL118" s="163"/>
      <c r="AM118" s="181"/>
    </row>
    <row r="119" spans="1:39" ht="12.75" customHeight="1" x14ac:dyDescent="0.2">
      <c r="A119" s="181"/>
      <c r="B119" s="154"/>
      <c r="C119" s="136"/>
      <c r="D119" s="553" t="s">
        <v>80</v>
      </c>
      <c r="E119" s="554"/>
      <c r="F119" s="590"/>
      <c r="G119" s="591"/>
      <c r="H119" s="140"/>
      <c r="I119" s="166"/>
      <c r="J119" s="517"/>
      <c r="K119" s="518"/>
      <c r="L119" s="518"/>
      <c r="M119" s="519"/>
      <c r="N119" s="429"/>
      <c r="O119" s="166"/>
      <c r="P119" s="511"/>
      <c r="Q119" s="512"/>
      <c r="R119" s="512"/>
      <c r="S119" s="513"/>
      <c r="T119" s="491"/>
      <c r="U119" s="167"/>
      <c r="V119" s="167"/>
      <c r="W119" s="167"/>
      <c r="X119" s="166"/>
      <c r="Y119" s="155"/>
      <c r="Z119" s="167"/>
      <c r="AA119" s="167"/>
      <c r="AB119" s="167"/>
      <c r="AC119" s="167"/>
      <c r="AD119" s="166"/>
      <c r="AE119" s="155"/>
      <c r="AF119" s="167"/>
      <c r="AG119" s="167"/>
      <c r="AH119" s="167"/>
      <c r="AI119" s="167"/>
      <c r="AJ119" s="166"/>
      <c r="AK119" s="155"/>
      <c r="AL119" s="163"/>
      <c r="AM119" s="181"/>
    </row>
    <row r="120" spans="1:39" ht="12.75" customHeight="1" thickBot="1" x14ac:dyDescent="0.25">
      <c r="A120" s="181"/>
      <c r="B120" s="154"/>
      <c r="C120" s="136"/>
      <c r="D120" s="555"/>
      <c r="E120" s="556"/>
      <c r="F120" s="592"/>
      <c r="G120" s="593"/>
      <c r="H120" s="140"/>
      <c r="I120" s="166"/>
      <c r="J120" s="520"/>
      <c r="K120" s="521"/>
      <c r="L120" s="521"/>
      <c r="M120" s="522"/>
      <c r="N120" s="124"/>
      <c r="O120" s="166"/>
      <c r="P120" s="508"/>
      <c r="Q120" s="509"/>
      <c r="R120" s="509"/>
      <c r="S120" s="510"/>
      <c r="T120" s="488"/>
      <c r="U120" s="167"/>
      <c r="V120" s="167"/>
      <c r="W120" s="167"/>
      <c r="X120" s="166"/>
      <c r="Y120" s="155"/>
      <c r="Z120" s="167"/>
      <c r="AA120" s="167"/>
      <c r="AB120" s="167"/>
      <c r="AC120" s="167"/>
      <c r="AD120" s="166"/>
      <c r="AE120" s="155"/>
      <c r="AF120" s="167"/>
      <c r="AG120" s="167"/>
      <c r="AH120" s="167"/>
      <c r="AI120" s="167"/>
      <c r="AJ120" s="166"/>
      <c r="AK120" s="155"/>
      <c r="AL120" s="163"/>
      <c r="AM120" s="181"/>
    </row>
    <row r="121" spans="1:39" ht="12.75" customHeight="1" thickBot="1" x14ac:dyDescent="0.25">
      <c r="A121" s="181"/>
      <c r="B121" s="154"/>
      <c r="C121" s="136"/>
      <c r="D121" s="138"/>
      <c r="E121" s="138"/>
      <c r="F121" s="139"/>
      <c r="G121" s="147"/>
      <c r="H121" s="140"/>
      <c r="I121" s="166"/>
      <c r="J121" s="517"/>
      <c r="K121" s="518"/>
      <c r="L121" s="518"/>
      <c r="M121" s="519"/>
      <c r="N121" s="429"/>
      <c r="O121" s="166"/>
      <c r="P121" s="511"/>
      <c r="Q121" s="512"/>
      <c r="R121" s="512"/>
      <c r="S121" s="513"/>
      <c r="T121" s="491"/>
      <c r="U121" s="167"/>
      <c r="V121" s="167"/>
      <c r="W121" s="167"/>
      <c r="X121" s="166"/>
      <c r="Y121" s="155"/>
      <c r="Z121" s="167"/>
      <c r="AA121" s="167"/>
      <c r="AB121" s="167"/>
      <c r="AC121" s="167"/>
      <c r="AD121" s="166"/>
      <c r="AE121" s="155"/>
      <c r="AF121" s="167"/>
      <c r="AG121" s="167"/>
      <c r="AH121" s="167"/>
      <c r="AI121" s="167"/>
      <c r="AJ121" s="166"/>
      <c r="AK121" s="155"/>
      <c r="AL121" s="163"/>
      <c r="AM121" s="181"/>
    </row>
    <row r="122" spans="1:39" ht="12.75" customHeight="1" x14ac:dyDescent="0.2">
      <c r="A122" s="181"/>
      <c r="B122" s="154"/>
      <c r="C122" s="136"/>
      <c r="D122" s="582" t="s">
        <v>40</v>
      </c>
      <c r="E122" s="583"/>
      <c r="F122" s="586">
        <f>((G118-F107)+F119)</f>
        <v>100</v>
      </c>
      <c r="G122" s="587"/>
      <c r="H122" s="148"/>
      <c r="I122" s="155"/>
      <c r="J122" s="520"/>
      <c r="K122" s="521"/>
      <c r="L122" s="521"/>
      <c r="M122" s="522"/>
      <c r="N122" s="428"/>
      <c r="O122" s="155"/>
      <c r="P122" s="508"/>
      <c r="Q122" s="509"/>
      <c r="R122" s="509"/>
      <c r="S122" s="510"/>
      <c r="T122" s="487"/>
      <c r="U122" s="155"/>
      <c r="V122" s="155"/>
      <c r="W122" s="155"/>
      <c r="X122" s="155"/>
      <c r="Y122" s="155"/>
      <c r="Z122" s="155"/>
      <c r="AA122" s="155"/>
      <c r="AB122" s="155"/>
      <c r="AC122" s="155"/>
      <c r="AD122" s="155"/>
      <c r="AE122" s="155"/>
      <c r="AF122" s="155"/>
      <c r="AG122" s="155"/>
      <c r="AH122" s="155"/>
      <c r="AI122" s="155"/>
      <c r="AJ122" s="155"/>
      <c r="AK122" s="155"/>
      <c r="AL122" s="163"/>
      <c r="AM122" s="181"/>
    </row>
    <row r="123" spans="1:39" ht="12.75" customHeight="1" thickBot="1" x14ac:dyDescent="0.25">
      <c r="A123" s="181"/>
      <c r="B123" s="154"/>
      <c r="C123" s="136"/>
      <c r="D123" s="584"/>
      <c r="E123" s="585"/>
      <c r="F123" s="588"/>
      <c r="G123" s="589"/>
      <c r="H123" s="140"/>
      <c r="I123" s="166"/>
      <c r="J123" s="517"/>
      <c r="K123" s="518"/>
      <c r="L123" s="518"/>
      <c r="M123" s="519"/>
      <c r="N123" s="429"/>
      <c r="O123" s="166"/>
      <c r="P123" s="511"/>
      <c r="Q123" s="512"/>
      <c r="R123" s="512"/>
      <c r="S123" s="513"/>
      <c r="T123" s="491"/>
      <c r="U123" s="167"/>
      <c r="V123" s="167"/>
      <c r="W123" s="167"/>
      <c r="X123" s="166"/>
      <c r="Y123" s="155"/>
      <c r="Z123" s="167"/>
      <c r="AA123" s="167"/>
      <c r="AB123" s="167"/>
      <c r="AC123" s="167"/>
      <c r="AD123" s="166"/>
      <c r="AE123" s="155"/>
      <c r="AF123" s="167"/>
      <c r="AG123" s="167"/>
      <c r="AH123" s="167"/>
      <c r="AI123" s="167"/>
      <c r="AJ123" s="166"/>
      <c r="AK123" s="155"/>
      <c r="AL123" s="163"/>
      <c r="AM123" s="181"/>
    </row>
    <row r="124" spans="1:39" ht="13.5" customHeight="1" thickBot="1" x14ac:dyDescent="0.25">
      <c r="A124" s="181"/>
      <c r="B124" s="154"/>
      <c r="C124" s="149"/>
      <c r="D124" s="150"/>
      <c r="E124" s="150"/>
      <c r="F124" s="150"/>
      <c r="G124" s="150"/>
      <c r="H124" s="151"/>
      <c r="I124" s="166"/>
      <c r="J124" s="579"/>
      <c r="K124" s="580"/>
      <c r="L124" s="580"/>
      <c r="M124" s="581"/>
      <c r="N124" s="430"/>
      <c r="O124" s="166"/>
      <c r="P124" s="514"/>
      <c r="Q124" s="515"/>
      <c r="R124" s="515"/>
      <c r="S124" s="516"/>
      <c r="T124" s="489"/>
      <c r="U124" s="167"/>
      <c r="V124" s="167"/>
      <c r="W124" s="167"/>
      <c r="X124" s="166"/>
      <c r="Y124" s="155"/>
      <c r="Z124" s="167"/>
      <c r="AA124" s="167"/>
      <c r="AB124" s="167"/>
      <c r="AC124" s="167"/>
      <c r="AD124" s="166"/>
      <c r="AE124" s="155"/>
      <c r="AF124" s="167"/>
      <c r="AG124" s="167"/>
      <c r="AH124" s="167"/>
      <c r="AI124" s="167"/>
      <c r="AJ124" s="166"/>
      <c r="AK124" s="155"/>
      <c r="AL124" s="163"/>
      <c r="AM124" s="181"/>
    </row>
    <row r="125" spans="1:39" ht="13.5" customHeight="1" thickBot="1" x14ac:dyDescent="0.25">
      <c r="A125" s="181"/>
      <c r="B125" s="182"/>
      <c r="C125" s="155"/>
      <c r="D125" s="155"/>
      <c r="E125" s="155"/>
      <c r="F125" s="155"/>
      <c r="G125" s="155"/>
      <c r="H125" s="155"/>
      <c r="I125" s="155"/>
      <c r="J125" s="155"/>
      <c r="K125" s="155"/>
      <c r="L125" s="155"/>
      <c r="M125" s="155"/>
      <c r="N125" s="152">
        <f>SUM(N104:N124)</f>
        <v>100</v>
      </c>
      <c r="O125" s="155"/>
      <c r="P125" s="155"/>
      <c r="Q125" s="155"/>
      <c r="R125" s="155"/>
      <c r="S125" s="155"/>
      <c r="T125" s="152">
        <f>SUM(T104:T124)</f>
        <v>0</v>
      </c>
      <c r="U125" s="155"/>
      <c r="V125" s="155"/>
      <c r="W125" s="155"/>
      <c r="X125" s="155"/>
      <c r="Y125" s="155"/>
      <c r="Z125" s="155"/>
      <c r="AA125" s="155"/>
      <c r="AB125" s="155"/>
      <c r="AC125" s="155"/>
      <c r="AD125" s="155"/>
      <c r="AE125" s="155"/>
      <c r="AF125" s="155"/>
      <c r="AG125" s="155"/>
      <c r="AH125" s="155"/>
      <c r="AI125" s="155"/>
      <c r="AJ125" s="155"/>
      <c r="AK125" s="155"/>
      <c r="AL125" s="163"/>
      <c r="AM125" s="181"/>
    </row>
    <row r="126" spans="1:39" ht="13.5" customHeight="1" thickBot="1" x14ac:dyDescent="0.25">
      <c r="A126" s="181"/>
      <c r="B126" s="182"/>
      <c r="C126" s="441" t="s">
        <v>72</v>
      </c>
      <c r="D126" s="441"/>
      <c r="E126" s="155"/>
      <c r="F126" s="155"/>
      <c r="G126" s="155"/>
      <c r="H126" s="155"/>
      <c r="I126" s="155"/>
      <c r="J126" s="155"/>
      <c r="K126" s="155"/>
      <c r="L126" s="155"/>
      <c r="M126" s="155"/>
      <c r="N126" s="155"/>
      <c r="O126" s="155"/>
      <c r="P126" s="155"/>
      <c r="Q126" s="155"/>
      <c r="R126" s="155"/>
      <c r="S126" s="155"/>
      <c r="T126" s="155"/>
      <c r="U126" s="155"/>
      <c r="V126" s="155"/>
      <c r="W126" s="155"/>
      <c r="X126" s="155"/>
      <c r="Y126" s="155"/>
      <c r="Z126" s="155"/>
      <c r="AA126" s="155"/>
      <c r="AB126" s="155"/>
      <c r="AC126" s="155"/>
      <c r="AD126" s="155"/>
      <c r="AE126" s="155"/>
      <c r="AF126" s="155"/>
      <c r="AG126" s="155"/>
      <c r="AH126" s="155"/>
      <c r="AI126" s="155"/>
      <c r="AJ126" s="155"/>
      <c r="AK126" s="155"/>
      <c r="AL126" s="163"/>
      <c r="AM126" s="181"/>
    </row>
    <row r="127" spans="1:39" ht="19.899999999999999" customHeight="1" thickTop="1" x14ac:dyDescent="0.2">
      <c r="A127" s="181"/>
      <c r="B127" s="182"/>
      <c r="C127" s="442"/>
      <c r="D127" s="494" t="s">
        <v>66</v>
      </c>
      <c r="E127" s="443"/>
      <c r="F127" s="155"/>
      <c r="G127" s="496">
        <f>F122-E131</f>
        <v>100</v>
      </c>
      <c r="H127" s="497"/>
      <c r="I127" s="155"/>
      <c r="J127" s="155"/>
      <c r="K127" s="155"/>
      <c r="L127" s="155"/>
      <c r="M127" s="155"/>
      <c r="N127" s="155"/>
      <c r="O127" s="155"/>
      <c r="P127" s="155"/>
      <c r="Q127" s="155"/>
      <c r="R127" s="155"/>
      <c r="S127" s="155"/>
      <c r="T127" s="155"/>
      <c r="U127" s="155"/>
      <c r="V127" s="155"/>
      <c r="W127" s="155"/>
      <c r="X127" s="155"/>
      <c r="Y127" s="155"/>
      <c r="Z127" s="155"/>
      <c r="AA127" s="155"/>
      <c r="AB127" s="155"/>
      <c r="AC127" s="155"/>
      <c r="AD127" s="155"/>
      <c r="AE127" s="155"/>
      <c r="AF127" s="155"/>
      <c r="AG127" s="155"/>
      <c r="AH127" s="155"/>
      <c r="AI127" s="155"/>
      <c r="AJ127" s="155"/>
      <c r="AK127" s="155"/>
      <c r="AL127" s="163"/>
      <c r="AM127" s="181"/>
    </row>
    <row r="128" spans="1:39" ht="19.899999999999999" customHeight="1" x14ac:dyDescent="0.2">
      <c r="A128" s="181"/>
      <c r="B128" s="182"/>
      <c r="C128" s="444"/>
      <c r="D128" s="492" t="s">
        <v>111</v>
      </c>
      <c r="E128" s="445"/>
      <c r="F128" s="155"/>
      <c r="G128" s="498"/>
      <c r="H128" s="499"/>
      <c r="I128" s="155"/>
      <c r="J128" s="155"/>
      <c r="K128" s="155"/>
      <c r="L128" s="155"/>
      <c r="M128" s="155"/>
      <c r="N128" s="155"/>
      <c r="O128" s="155"/>
      <c r="P128" s="155"/>
      <c r="Q128" s="155"/>
      <c r="R128" s="155"/>
      <c r="S128" s="155"/>
      <c r="T128" s="155"/>
      <c r="U128" s="155"/>
      <c r="V128" s="155"/>
      <c r="W128" s="155"/>
      <c r="X128" s="155"/>
      <c r="Y128" s="155"/>
      <c r="Z128" s="155"/>
      <c r="AA128" s="155"/>
      <c r="AB128" s="155"/>
      <c r="AC128" s="155"/>
      <c r="AD128" s="155"/>
      <c r="AE128" s="155"/>
      <c r="AF128" s="155"/>
      <c r="AG128" s="155"/>
      <c r="AH128" s="155"/>
      <c r="AI128" s="155"/>
      <c r="AJ128" s="155"/>
      <c r="AK128" s="155"/>
      <c r="AL128" s="163"/>
      <c r="AM128" s="181"/>
    </row>
    <row r="129" spans="1:39" ht="19.899999999999999" customHeight="1" x14ac:dyDescent="0.2">
      <c r="A129" s="181"/>
      <c r="B129" s="183"/>
      <c r="C129" s="444"/>
      <c r="D129" s="493" t="s">
        <v>112</v>
      </c>
      <c r="E129" s="475"/>
      <c r="F129" s="457"/>
      <c r="G129" s="498"/>
      <c r="H129" s="499"/>
      <c r="I129" s="155"/>
      <c r="J129" s="155"/>
      <c r="K129" s="155"/>
      <c r="L129" s="155"/>
      <c r="M129" s="172"/>
      <c r="N129" s="155"/>
      <c r="O129" s="155"/>
      <c r="P129" s="155"/>
      <c r="Q129" s="155"/>
      <c r="R129" s="155"/>
      <c r="S129" s="155"/>
      <c r="T129" s="155"/>
      <c r="U129" s="155"/>
      <c r="V129" s="155"/>
      <c r="W129" s="155"/>
      <c r="X129" s="155"/>
      <c r="Y129" s="155"/>
      <c r="Z129" s="155"/>
      <c r="AA129" s="155"/>
      <c r="AB129" s="155"/>
      <c r="AC129" s="155"/>
      <c r="AD129" s="155"/>
      <c r="AE129" s="155"/>
      <c r="AF129" s="155"/>
      <c r="AG129" s="155"/>
      <c r="AH129" s="155"/>
      <c r="AI129" s="155"/>
      <c r="AJ129" s="155"/>
      <c r="AK129" s="155"/>
      <c r="AL129" s="163"/>
      <c r="AM129" s="181"/>
    </row>
    <row r="130" spans="1:39" ht="19.899999999999999" customHeight="1" x14ac:dyDescent="0.2">
      <c r="A130" s="181"/>
      <c r="B130" s="183"/>
      <c r="C130" s="444"/>
      <c r="D130" s="492" t="s">
        <v>96</v>
      </c>
      <c r="E130" s="445"/>
      <c r="F130" s="155"/>
      <c r="G130" s="498"/>
      <c r="H130" s="499"/>
      <c r="I130" s="155"/>
      <c r="J130" s="155"/>
      <c r="K130" s="155"/>
      <c r="L130" s="155"/>
      <c r="M130" s="172"/>
      <c r="N130" s="155"/>
      <c r="O130" s="155"/>
      <c r="P130" s="155"/>
      <c r="Q130" s="155"/>
      <c r="R130" s="155"/>
      <c r="S130" s="155"/>
      <c r="T130" s="155"/>
      <c r="U130" s="155"/>
      <c r="V130" s="155"/>
      <c r="W130" s="155"/>
      <c r="X130" s="155"/>
      <c r="Y130" s="155"/>
      <c r="Z130" s="155"/>
      <c r="AA130" s="155"/>
      <c r="AB130" s="155"/>
      <c r="AC130" s="155"/>
      <c r="AD130" s="155"/>
      <c r="AE130" s="155"/>
      <c r="AF130" s="155"/>
      <c r="AG130" s="155"/>
      <c r="AH130" s="155"/>
      <c r="AI130" s="155"/>
      <c r="AJ130" s="155"/>
      <c r="AK130" s="155"/>
      <c r="AL130" s="163"/>
      <c r="AM130" s="181"/>
    </row>
    <row r="131" spans="1:39" ht="19.899999999999999" customHeight="1" thickBot="1" x14ac:dyDescent="0.25">
      <c r="A131" s="181"/>
      <c r="B131" s="183"/>
      <c r="C131" s="446"/>
      <c r="D131" s="447" t="s">
        <v>7</v>
      </c>
      <c r="E131" s="448">
        <f>SUM(E127:E130)</f>
        <v>0</v>
      </c>
      <c r="F131" s="155"/>
      <c r="G131" s="500"/>
      <c r="H131" s="501"/>
      <c r="I131" s="155"/>
      <c r="J131" s="155"/>
      <c r="K131" s="155"/>
      <c r="L131" s="155"/>
      <c r="M131" s="172"/>
      <c r="N131" s="155"/>
      <c r="O131" s="155"/>
      <c r="P131" s="155"/>
      <c r="Q131" s="155"/>
      <c r="R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5"/>
      <c r="AC131" s="155"/>
      <c r="AD131" s="155"/>
      <c r="AE131" s="155"/>
      <c r="AF131" s="155"/>
      <c r="AG131" s="155"/>
      <c r="AH131" s="155"/>
      <c r="AI131" s="155"/>
      <c r="AJ131" s="155"/>
      <c r="AK131" s="155"/>
      <c r="AL131" s="163"/>
      <c r="AM131" s="181"/>
    </row>
    <row r="132" spans="1:39" ht="13.5" thickTop="1" x14ac:dyDescent="0.2">
      <c r="A132" s="181"/>
      <c r="B132" s="182"/>
      <c r="C132" s="155"/>
      <c r="D132" s="155"/>
      <c r="E132" s="155"/>
      <c r="F132" s="155" t="s">
        <v>26</v>
      </c>
      <c r="G132" s="155"/>
      <c r="H132" s="155"/>
      <c r="I132" s="155"/>
      <c r="J132" s="155"/>
      <c r="K132" s="155"/>
      <c r="L132" s="155"/>
      <c r="M132" s="172"/>
      <c r="N132" s="155"/>
      <c r="O132" s="155"/>
      <c r="P132" s="155"/>
      <c r="Q132" s="155"/>
      <c r="R132" s="155"/>
      <c r="S132" s="155"/>
      <c r="T132" s="155"/>
      <c r="U132" s="155"/>
      <c r="V132" s="155"/>
      <c r="W132" s="155"/>
      <c r="X132" s="155"/>
      <c r="Y132" s="155"/>
      <c r="Z132" s="155"/>
      <c r="AA132" s="155"/>
      <c r="AB132" s="155"/>
      <c r="AC132" s="155"/>
      <c r="AD132" s="155"/>
      <c r="AE132" s="155"/>
      <c r="AF132" s="155"/>
      <c r="AG132" s="155"/>
      <c r="AH132" s="155"/>
      <c r="AI132" s="155"/>
      <c r="AJ132" s="155"/>
      <c r="AK132" s="155"/>
      <c r="AL132" s="163"/>
      <c r="AM132" s="181"/>
    </row>
    <row r="133" spans="1:39" x14ac:dyDescent="0.2">
      <c r="A133" s="181"/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81"/>
    </row>
    <row r="134" spans="1:39" x14ac:dyDescent="0.2">
      <c r="A134" s="181"/>
      <c r="B134" s="181"/>
      <c r="C134" s="181"/>
      <c r="D134" s="181"/>
      <c r="E134" s="181"/>
      <c r="F134" s="181"/>
      <c r="G134" s="181"/>
      <c r="H134" s="181"/>
      <c r="I134" s="181"/>
      <c r="J134" s="181"/>
      <c r="K134" s="181"/>
      <c r="L134" s="181"/>
      <c r="M134" s="181"/>
      <c r="N134" s="181"/>
      <c r="O134" s="181"/>
      <c r="P134" s="181"/>
      <c r="Q134" s="181"/>
      <c r="R134" s="181"/>
      <c r="S134" s="181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181"/>
      <c r="AH134" s="181"/>
      <c r="AI134" s="181"/>
      <c r="AJ134" s="181"/>
      <c r="AK134" s="181"/>
      <c r="AL134" s="181"/>
      <c r="AM134" s="181"/>
    </row>
  </sheetData>
  <mergeCells count="331">
    <mergeCell ref="H14:I14"/>
    <mergeCell ref="H69:I69"/>
    <mergeCell ref="H72:H73"/>
    <mergeCell ref="F104:G105"/>
    <mergeCell ref="D75:D76"/>
    <mergeCell ref="J89:J90"/>
    <mergeCell ref="D78:D79"/>
    <mergeCell ref="E86:E87"/>
    <mergeCell ref="F86:F87"/>
    <mergeCell ref="D89:D90"/>
    <mergeCell ref="E92:E93"/>
    <mergeCell ref="F92:F93"/>
    <mergeCell ref="H86:H87"/>
    <mergeCell ref="H92:H93"/>
    <mergeCell ref="H95:I95"/>
    <mergeCell ref="I92:I93"/>
    <mergeCell ref="E95:F95"/>
    <mergeCell ref="G72:G73"/>
    <mergeCell ref="G83:G84"/>
    <mergeCell ref="H89:H90"/>
    <mergeCell ref="F107:G108"/>
    <mergeCell ref="G89:G90"/>
    <mergeCell ref="D101:E102"/>
    <mergeCell ref="F101:G102"/>
    <mergeCell ref="D83:D84"/>
    <mergeCell ref="D107:E108"/>
    <mergeCell ref="E14:F14"/>
    <mergeCell ref="E69:F69"/>
    <mergeCell ref="J124:M124"/>
    <mergeCell ref="D122:E123"/>
    <mergeCell ref="F122:G123"/>
    <mergeCell ref="F116:G117"/>
    <mergeCell ref="J120:M120"/>
    <mergeCell ref="D119:E120"/>
    <mergeCell ref="F119:G120"/>
    <mergeCell ref="J118:M118"/>
    <mergeCell ref="J119:M119"/>
    <mergeCell ref="D116:E117"/>
    <mergeCell ref="D110:E111"/>
    <mergeCell ref="F110:G111"/>
    <mergeCell ref="D113:E114"/>
    <mergeCell ref="G78:G79"/>
    <mergeCell ref="K14:L14"/>
    <mergeCell ref="K69:L69"/>
    <mergeCell ref="AC11:AD12"/>
    <mergeCell ref="J110:M110"/>
    <mergeCell ref="Y89:Y90"/>
    <mergeCell ref="Z89:Z90"/>
    <mergeCell ref="AD92:AD93"/>
    <mergeCell ref="AD86:AD87"/>
    <mergeCell ref="I83:I84"/>
    <mergeCell ref="L83:L84"/>
    <mergeCell ref="O83:O84"/>
    <mergeCell ref="X83:X84"/>
    <mergeCell ref="J100:N101"/>
    <mergeCell ref="J104:M104"/>
    <mergeCell ref="J105:M105"/>
    <mergeCell ref="J106:M106"/>
    <mergeCell ref="J107:M107"/>
    <mergeCell ref="T89:T90"/>
    <mergeCell ref="X92:X93"/>
    <mergeCell ref="Q86:Q87"/>
    <mergeCell ref="R86:R87"/>
    <mergeCell ref="X89:X90"/>
    <mergeCell ref="AD89:AD90"/>
    <mergeCell ref="J108:M108"/>
    <mergeCell ref="J109:M109"/>
    <mergeCell ref="K75:L76"/>
    <mergeCell ref="D7:E7"/>
    <mergeCell ref="H83:H84"/>
    <mergeCell ref="T83:T84"/>
    <mergeCell ref="Z83:Z84"/>
    <mergeCell ref="M83:M84"/>
    <mergeCell ref="S83:S84"/>
    <mergeCell ref="Y83:Y84"/>
    <mergeCell ref="X86:X87"/>
    <mergeCell ref="K86:K87"/>
    <mergeCell ref="L86:L87"/>
    <mergeCell ref="S72:S73"/>
    <mergeCell ref="E11:F12"/>
    <mergeCell ref="K11:L12"/>
    <mergeCell ref="N11:O12"/>
    <mergeCell ref="Q11:R12"/>
    <mergeCell ref="Q14:R14"/>
    <mergeCell ref="Q69:R69"/>
    <mergeCell ref="T11:U12"/>
    <mergeCell ref="W11:X12"/>
    <mergeCell ref="E83:E84"/>
    <mergeCell ref="W86:W87"/>
    <mergeCell ref="Q72:Q73"/>
    <mergeCell ref="H78:H79"/>
    <mergeCell ref="F83:F84"/>
    <mergeCell ref="F72:F73"/>
    <mergeCell ref="G75:G76"/>
    <mergeCell ref="H75:I76"/>
    <mergeCell ref="J75:J76"/>
    <mergeCell ref="J72:J73"/>
    <mergeCell ref="E75:F76"/>
    <mergeCell ref="I89:I90"/>
    <mergeCell ref="L89:L90"/>
    <mergeCell ref="I86:I87"/>
    <mergeCell ref="K89:K90"/>
    <mergeCell ref="I72:I73"/>
    <mergeCell ref="E72:E73"/>
    <mergeCell ref="K72:K73"/>
    <mergeCell ref="L72:L73"/>
    <mergeCell ref="M78:M79"/>
    <mergeCell ref="P75:P76"/>
    <mergeCell ref="Q75:R76"/>
    <mergeCell ref="R72:R73"/>
    <mergeCell ref="AB72:AB73"/>
    <mergeCell ref="AC72:AC73"/>
    <mergeCell ref="W75:X76"/>
    <mergeCell ref="V78:V79"/>
    <mergeCell ref="W14:X14"/>
    <mergeCell ref="T69:U69"/>
    <mergeCell ref="W69:X69"/>
    <mergeCell ref="U72:U73"/>
    <mergeCell ref="V72:V73"/>
    <mergeCell ref="W72:W73"/>
    <mergeCell ref="T75:U76"/>
    <mergeCell ref="V75:V76"/>
    <mergeCell ref="M75:M76"/>
    <mergeCell ref="N72:N73"/>
    <mergeCell ref="O72:O73"/>
    <mergeCell ref="AC95:AD95"/>
    <mergeCell ref="Z97:AA98"/>
    <mergeCell ref="V83:V84"/>
    <mergeCell ref="W83:W84"/>
    <mergeCell ref="T95:U95"/>
    <mergeCell ref="W95:X95"/>
    <mergeCell ref="AC14:AD14"/>
    <mergeCell ref="AC69:AD69"/>
    <mergeCell ref="T72:T73"/>
    <mergeCell ref="V89:V90"/>
    <mergeCell ref="K83:K84"/>
    <mergeCell ref="E97:F98"/>
    <mergeCell ref="H97:I98"/>
    <mergeCell ref="K97:L98"/>
    <mergeCell ref="N97:O98"/>
    <mergeCell ref="O80:O81"/>
    <mergeCell ref="X80:X81"/>
    <mergeCell ref="F80:F81"/>
    <mergeCell ref="AB89:AB90"/>
    <mergeCell ref="R80:R81"/>
    <mergeCell ref="P83:P84"/>
    <mergeCell ref="N83:N84"/>
    <mergeCell ref="I80:I81"/>
    <mergeCell ref="L80:L81"/>
    <mergeCell ref="Q83:Q84"/>
    <mergeCell ref="R83:R84"/>
    <mergeCell ref="J83:J84"/>
    <mergeCell ref="M89:M90"/>
    <mergeCell ref="N78:N79"/>
    <mergeCell ref="K78:K79"/>
    <mergeCell ref="J78:J79"/>
    <mergeCell ref="D104:E105"/>
    <mergeCell ref="K92:K93"/>
    <mergeCell ref="L92:L93"/>
    <mergeCell ref="T78:T79"/>
    <mergeCell ref="F113:G114"/>
    <mergeCell ref="F89:F90"/>
    <mergeCell ref="E89:E90"/>
    <mergeCell ref="S78:S79"/>
    <mergeCell ref="P100:T101"/>
    <mergeCell ref="P103:S103"/>
    <mergeCell ref="P104:S104"/>
    <mergeCell ref="P105:S105"/>
    <mergeCell ref="P106:S106"/>
    <mergeCell ref="P107:S107"/>
    <mergeCell ref="P108:S108"/>
    <mergeCell ref="P109:S109"/>
    <mergeCell ref="Q97:R98"/>
    <mergeCell ref="J114:M114"/>
    <mergeCell ref="K95:L95"/>
    <mergeCell ref="N95:O95"/>
    <mergeCell ref="Q95:R95"/>
    <mergeCell ref="AI72:AI73"/>
    <mergeCell ref="AF75:AG76"/>
    <mergeCell ref="AH75:AH76"/>
    <mergeCell ref="AI75:AJ76"/>
    <mergeCell ref="AH78:AH79"/>
    <mergeCell ref="AI78:AI79"/>
    <mergeCell ref="AG80:AG81"/>
    <mergeCell ref="AG83:AG84"/>
    <mergeCell ref="AH83:AH84"/>
    <mergeCell ref="AI83:AI84"/>
    <mergeCell ref="AF83:AF84"/>
    <mergeCell ref="D3:AJ3"/>
    <mergeCell ref="D5:AJ5"/>
    <mergeCell ref="F7:AJ7"/>
    <mergeCell ref="AE72:AE73"/>
    <mergeCell ref="AF72:AF73"/>
    <mergeCell ref="AJ72:AJ73"/>
    <mergeCell ref="AE75:AE76"/>
    <mergeCell ref="D72:D73"/>
    <mergeCell ref="Z78:Z79"/>
    <mergeCell ref="Y75:Y76"/>
    <mergeCell ref="Z72:Z73"/>
    <mergeCell ref="Y72:Y73"/>
    <mergeCell ref="Y78:Y79"/>
    <mergeCell ref="S75:S76"/>
    <mergeCell ref="E78:E79"/>
    <mergeCell ref="N75:O76"/>
    <mergeCell ref="P72:P73"/>
    <mergeCell ref="Z11:AA12"/>
    <mergeCell ref="Z14:AA14"/>
    <mergeCell ref="Z69:AA69"/>
    <mergeCell ref="AA72:AA73"/>
    <mergeCell ref="X72:X73"/>
    <mergeCell ref="E9:F9"/>
    <mergeCell ref="K9:L9"/>
    <mergeCell ref="Z95:AA95"/>
    <mergeCell ref="W78:W79"/>
    <mergeCell ref="N9:O9"/>
    <mergeCell ref="Q9:R9"/>
    <mergeCell ref="T9:U9"/>
    <mergeCell ref="N86:N87"/>
    <mergeCell ref="O86:O87"/>
    <mergeCell ref="N92:N93"/>
    <mergeCell ref="O92:O93"/>
    <mergeCell ref="T86:T87"/>
    <mergeCell ref="U86:U87"/>
    <mergeCell ref="T92:T93"/>
    <mergeCell ref="U92:U93"/>
    <mergeCell ref="P89:P90"/>
    <mergeCell ref="Q89:Q90"/>
    <mergeCell ref="R89:R90"/>
    <mergeCell ref="Q92:Q93"/>
    <mergeCell ref="R92:R93"/>
    <mergeCell ref="U80:U81"/>
    <mergeCell ref="U83:U84"/>
    <mergeCell ref="U89:U90"/>
    <mergeCell ref="S89:S90"/>
    <mergeCell ref="N89:N90"/>
    <mergeCell ref="T14:U14"/>
    <mergeCell ref="AF97:AG98"/>
    <mergeCell ref="AI97:AJ98"/>
    <mergeCell ref="AC97:AD98"/>
    <mergeCell ref="AI9:AJ9"/>
    <mergeCell ref="AI95:AJ95"/>
    <mergeCell ref="AF92:AF93"/>
    <mergeCell ref="AG92:AG93"/>
    <mergeCell ref="W9:X9"/>
    <mergeCell ref="Z9:AA9"/>
    <mergeCell ref="AC9:AD9"/>
    <mergeCell ref="AF9:AG9"/>
    <mergeCell ref="Z86:Z87"/>
    <mergeCell ref="Z92:Z93"/>
    <mergeCell ref="AI92:AI93"/>
    <mergeCell ref="AF14:AG14"/>
    <mergeCell ref="AI14:AJ14"/>
    <mergeCell ref="AF69:AG69"/>
    <mergeCell ref="AI69:AJ69"/>
    <mergeCell ref="AG72:AG73"/>
    <mergeCell ref="AD72:AD73"/>
    <mergeCell ref="AA92:AA93"/>
    <mergeCell ref="AC86:AC87"/>
    <mergeCell ref="AA89:AA90"/>
    <mergeCell ref="AA86:AA87"/>
    <mergeCell ref="O89:O90"/>
    <mergeCell ref="AJ92:AJ93"/>
    <mergeCell ref="AE78:AE79"/>
    <mergeCell ref="AF78:AF79"/>
    <mergeCell ref="AJ80:AJ81"/>
    <mergeCell ref="AE83:AE84"/>
    <mergeCell ref="AC92:AC93"/>
    <mergeCell ref="AJ83:AJ84"/>
    <mergeCell ref="AJ86:AJ87"/>
    <mergeCell ref="AE89:AE90"/>
    <mergeCell ref="AF89:AF90"/>
    <mergeCell ref="AJ89:AJ90"/>
    <mergeCell ref="AG89:AG90"/>
    <mergeCell ref="AH89:AH90"/>
    <mergeCell ref="AI89:AI90"/>
    <mergeCell ref="AI86:AI87"/>
    <mergeCell ref="AF86:AF87"/>
    <mergeCell ref="AG86:AG87"/>
    <mergeCell ref="W89:W90"/>
    <mergeCell ref="AD80:AD81"/>
    <mergeCell ref="AC89:AC90"/>
    <mergeCell ref="P78:P79"/>
    <mergeCell ref="Q78:Q79"/>
    <mergeCell ref="AF11:AG12"/>
    <mergeCell ref="AI11:AJ12"/>
    <mergeCell ref="J103:M103"/>
    <mergeCell ref="J111:M111"/>
    <mergeCell ref="J112:M112"/>
    <mergeCell ref="J113:M113"/>
    <mergeCell ref="Z75:AA76"/>
    <mergeCell ref="AB75:AB76"/>
    <mergeCell ref="AC75:AD76"/>
    <mergeCell ref="AB78:AB79"/>
    <mergeCell ref="AC78:AC79"/>
    <mergeCell ref="AA80:AA81"/>
    <mergeCell ref="AA83:AA84"/>
    <mergeCell ref="AB83:AB84"/>
    <mergeCell ref="AC83:AC84"/>
    <mergeCell ref="AD83:AD84"/>
    <mergeCell ref="AH72:AH73"/>
    <mergeCell ref="AF95:AG95"/>
    <mergeCell ref="W92:W93"/>
    <mergeCell ref="T97:U98"/>
    <mergeCell ref="W97:X98"/>
    <mergeCell ref="P110:S110"/>
    <mergeCell ref="P111:S111"/>
    <mergeCell ref="P112:S112"/>
    <mergeCell ref="G127:H131"/>
    <mergeCell ref="H9:I9"/>
    <mergeCell ref="H11:I12"/>
    <mergeCell ref="P122:S122"/>
    <mergeCell ref="P123:S123"/>
    <mergeCell ref="P124:S124"/>
    <mergeCell ref="P113:S113"/>
    <mergeCell ref="P114:S114"/>
    <mergeCell ref="P115:S115"/>
    <mergeCell ref="P116:S116"/>
    <mergeCell ref="P117:S117"/>
    <mergeCell ref="P118:S118"/>
    <mergeCell ref="P119:S119"/>
    <mergeCell ref="P120:S120"/>
    <mergeCell ref="P121:S121"/>
    <mergeCell ref="J115:M115"/>
    <mergeCell ref="J116:M116"/>
    <mergeCell ref="J117:M117"/>
    <mergeCell ref="J121:M121"/>
    <mergeCell ref="N14:O14"/>
    <mergeCell ref="N69:O69"/>
    <mergeCell ref="M72:M73"/>
    <mergeCell ref="J122:M122"/>
    <mergeCell ref="J123:M123"/>
  </mergeCells>
  <conditionalFormatting sqref="I80:I81 L80:L81 O80:R81 U80:X81 AA80:AD81 AG80:AJ81">
    <cfRule type="iconSet" priority="26">
      <iconSet iconSet="3Symbols2" showValue="0">
        <cfvo type="percent" val="0"/>
        <cfvo type="num" val="0"/>
        <cfvo type="num" val="0"/>
      </iconSet>
    </cfRule>
  </conditionalFormatting>
  <conditionalFormatting sqref="G80:L81">
    <cfRule type="iconSet" priority="21">
      <iconSet iconSet="3Symbols2" showValue="0">
        <cfvo type="percent" val="0"/>
        <cfvo type="num" val="0"/>
        <cfvo type="num" val="0"/>
      </iconSet>
    </cfRule>
  </conditionalFormatting>
  <conditionalFormatting sqref="L80:L81 I80:I81">
    <cfRule type="iconSet" priority="20">
      <iconSet iconSet="3Symbols2" showValue="0">
        <cfvo type="percent" val="0"/>
        <cfvo type="num" val="0"/>
        <cfvo type="num" val="0"/>
      </iconSet>
    </cfRule>
  </conditionalFormatting>
  <conditionalFormatting sqref="M80:R81">
    <cfRule type="iconSet" priority="19">
      <iconSet iconSet="3Symbols2" showValue="0">
        <cfvo type="percent" val="0"/>
        <cfvo type="num" val="0"/>
        <cfvo type="num" val="0"/>
      </iconSet>
    </cfRule>
  </conditionalFormatting>
  <conditionalFormatting sqref="R80:R81 O80:O81">
    <cfRule type="iconSet" priority="18">
      <iconSet iconSet="3Symbols2" showValue="0">
        <cfvo type="percent" val="0"/>
        <cfvo type="num" val="0"/>
        <cfvo type="num" val="0"/>
      </iconSet>
    </cfRule>
  </conditionalFormatting>
  <conditionalFormatting sqref="S80:X81">
    <cfRule type="iconSet" priority="17">
      <iconSet iconSet="3Symbols2" showValue="0">
        <cfvo type="percent" val="0"/>
        <cfvo type="num" val="0"/>
        <cfvo type="num" val="0"/>
      </iconSet>
    </cfRule>
  </conditionalFormatting>
  <conditionalFormatting sqref="X80:X81 U80:U81">
    <cfRule type="iconSet" priority="16">
      <iconSet iconSet="3Symbols2" showValue="0">
        <cfvo type="percent" val="0"/>
        <cfvo type="num" val="0"/>
        <cfvo type="num" val="0"/>
      </iconSet>
    </cfRule>
  </conditionalFormatting>
  <conditionalFormatting sqref="Y80:AD81">
    <cfRule type="iconSet" priority="15">
      <iconSet iconSet="3Symbols2" showValue="0">
        <cfvo type="percent" val="0"/>
        <cfvo type="num" val="0"/>
        <cfvo type="num" val="0"/>
      </iconSet>
    </cfRule>
  </conditionalFormatting>
  <conditionalFormatting sqref="AD80:AD81 AA80:AA81">
    <cfRule type="iconSet" priority="14">
      <iconSet iconSet="3Symbols2" showValue="0">
        <cfvo type="percent" val="0"/>
        <cfvo type="num" val="0"/>
        <cfvo type="num" val="0"/>
      </iconSet>
    </cfRule>
  </conditionalFormatting>
  <conditionalFormatting sqref="AE80:AJ81">
    <cfRule type="iconSet" priority="13">
      <iconSet iconSet="3Symbols2" showValue="0">
        <cfvo type="percent" val="0"/>
        <cfvo type="num" val="0"/>
        <cfvo type="num" val="0"/>
      </iconSet>
    </cfRule>
  </conditionalFormatting>
  <conditionalFormatting sqref="AJ80:AJ81 AG80:AG81">
    <cfRule type="iconSet" priority="12">
      <iconSet iconSet="3Symbols2" showValue="0">
        <cfvo type="percent" val="0"/>
        <cfvo type="num" val="0"/>
        <cfvo type="num" val="0"/>
      </iconSet>
    </cfRule>
  </conditionalFormatting>
  <conditionalFormatting sqref="F80:F81">
    <cfRule type="iconSet" priority="3">
      <iconSet iconSet="3Symbols2" showValue="0">
        <cfvo type="percent" val="0"/>
        <cfvo type="num" val="0"/>
        <cfvo type="num" val="0"/>
      </iconSet>
    </cfRule>
  </conditionalFormatting>
  <printOptions horizontalCentered="1" verticalCentered="1"/>
  <pageMargins left="0" right="0" top="0" bottom="0" header="0" footer="0"/>
  <pageSetup paperSize="9" scale="4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5876" r:id="rId4" name="CommandButton1">
          <controlPr autoLine="0" r:id="rId5">
            <anchor moveWithCells="1">
              <from>
                <xdr:col>3</xdr:col>
                <xdr:colOff>0</xdr:colOff>
                <xdr:row>8</xdr:row>
                <xdr:rowOff>19050</xdr:rowOff>
              </from>
              <to>
                <xdr:col>3</xdr:col>
                <xdr:colOff>800100</xdr:colOff>
                <xdr:row>8</xdr:row>
                <xdr:rowOff>304800</xdr:rowOff>
              </to>
            </anchor>
          </controlPr>
        </control>
      </mc:Choice>
      <mc:Fallback>
        <control shapeId="27587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rgb="FFFFC000"/>
    <pageSetUpPr fitToPage="1"/>
  </sheetPr>
  <dimension ref="A1:BD166"/>
  <sheetViews>
    <sheetView topLeftCell="A115" zoomScaleNormal="100" workbookViewId="0">
      <selection activeCell="AU53" sqref="AU53"/>
    </sheetView>
  </sheetViews>
  <sheetFormatPr defaultColWidth="9.140625" defaultRowHeight="12.75" x14ac:dyDescent="0.2"/>
  <cols>
    <col min="1" max="2" width="1.7109375" style="1" customWidth="1"/>
    <col min="3" max="3" width="3.7109375" style="1" customWidth="1"/>
    <col min="4" max="4" width="6.85546875" style="1" customWidth="1"/>
    <col min="5" max="5" width="1.7109375" style="1" customWidth="1"/>
    <col min="6" max="6" width="12.7109375" style="1" customWidth="1"/>
    <col min="7" max="7" width="1.7109375" style="3" customWidth="1"/>
    <col min="8" max="10" width="10.7109375" style="3" customWidth="1"/>
    <col min="11" max="20" width="10.7109375" style="1" customWidth="1"/>
    <col min="21" max="21" width="1.7109375" style="1" customWidth="1"/>
    <col min="22" max="22" width="12.7109375" style="1" customWidth="1"/>
    <col min="23" max="23" width="1.7109375" style="1" customWidth="1"/>
    <col min="24" max="24" width="12.7109375" style="1" customWidth="1"/>
    <col min="25" max="25" width="1.7109375" style="1" customWidth="1"/>
    <col min="26" max="26" width="8.7109375" style="1" customWidth="1"/>
    <col min="27" max="28" width="1.7109375" style="1" customWidth="1"/>
    <col min="29" max="29" width="8.7109375" style="1" customWidth="1"/>
    <col min="30" max="30" width="1.7109375" style="1" customWidth="1"/>
    <col min="31" max="31" width="13.28515625" style="1" customWidth="1"/>
    <col min="32" max="32" width="1.7109375" style="3" customWidth="1"/>
    <col min="33" max="35" width="10.7109375" style="3" customWidth="1"/>
    <col min="36" max="45" width="10.7109375" style="1" customWidth="1"/>
    <col min="46" max="46" width="1.7109375" style="1" customWidth="1"/>
    <col min="47" max="47" width="12.7109375" style="1" customWidth="1"/>
    <col min="48" max="48" width="1.7109375" style="1" customWidth="1"/>
    <col min="49" max="49" width="12.7109375" style="1" customWidth="1"/>
    <col min="50" max="50" width="1.7109375" style="1" customWidth="1"/>
    <col min="51" max="51" width="8.7109375" style="1" customWidth="1"/>
    <col min="52" max="53" width="1.7109375" style="1" customWidth="1"/>
    <col min="54" max="16384" width="9.140625" style="1"/>
  </cols>
  <sheetData>
    <row r="1" spans="1:56" ht="9.9499999999999993" customHeight="1" x14ac:dyDescent="0.2">
      <c r="A1" s="181"/>
      <c r="B1" s="181"/>
      <c r="C1" s="181"/>
      <c r="D1" s="181"/>
      <c r="E1" s="181"/>
      <c r="F1" s="181"/>
      <c r="G1" s="298"/>
      <c r="H1" s="298"/>
      <c r="I1" s="298"/>
      <c r="J1" s="298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298"/>
      <c r="AG1" s="298"/>
      <c r="AH1" s="298"/>
      <c r="AI1" s="298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</row>
    <row r="2" spans="1:56" ht="9.9499999999999993" customHeight="1" thickBot="1" x14ac:dyDescent="0.25">
      <c r="A2" s="181"/>
      <c r="B2" s="304"/>
      <c r="C2" s="304"/>
      <c r="D2" s="304"/>
      <c r="E2" s="304"/>
      <c r="F2" s="304"/>
      <c r="G2" s="305"/>
      <c r="H2" s="305"/>
      <c r="I2" s="305"/>
      <c r="J2" s="305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04"/>
      <c r="AC2" s="304"/>
      <c r="AD2" s="304"/>
      <c r="AE2" s="304"/>
      <c r="AF2" s="305"/>
      <c r="AG2" s="305"/>
      <c r="AH2" s="305"/>
      <c r="AI2" s="305"/>
      <c r="AJ2" s="304"/>
      <c r="AK2" s="304"/>
      <c r="AL2" s="304"/>
      <c r="AM2" s="304"/>
      <c r="AN2" s="304"/>
      <c r="AO2" s="304"/>
      <c r="AP2" s="304"/>
      <c r="AQ2" s="304"/>
      <c r="AR2" s="304"/>
      <c r="AS2" s="304"/>
      <c r="AT2" s="304"/>
      <c r="AU2" s="304"/>
      <c r="AV2" s="304"/>
      <c r="AW2" s="304"/>
      <c r="AX2" s="304"/>
      <c r="AY2" s="304"/>
      <c r="AZ2" s="306"/>
      <c r="BA2" s="299"/>
      <c r="BB2" s="184"/>
      <c r="BC2" s="184"/>
      <c r="BD2" s="184"/>
    </row>
    <row r="3" spans="1:56" ht="24.95" customHeight="1" thickBot="1" x14ac:dyDescent="0.25">
      <c r="A3" s="181"/>
      <c r="B3" s="304"/>
      <c r="C3" s="669" t="str">
        <f>Caderno!D3</f>
        <v>LOTÉRICA CHAPARRAL - Santo André - SP</v>
      </c>
      <c r="D3" s="670"/>
      <c r="E3" s="670"/>
      <c r="F3" s="670"/>
      <c r="G3" s="670"/>
      <c r="H3" s="670"/>
      <c r="I3" s="670"/>
      <c r="J3" s="670"/>
      <c r="K3" s="670"/>
      <c r="L3" s="670"/>
      <c r="M3" s="670"/>
      <c r="N3" s="670"/>
      <c r="O3" s="670"/>
      <c r="P3" s="670"/>
      <c r="Q3" s="670"/>
      <c r="R3" s="670"/>
      <c r="S3" s="670"/>
      <c r="T3" s="670"/>
      <c r="U3" s="670"/>
      <c r="V3" s="671"/>
      <c r="W3" s="332"/>
      <c r="X3" s="332"/>
      <c r="Y3" s="332"/>
      <c r="Z3" s="332"/>
      <c r="AA3" s="332"/>
      <c r="AB3" s="307"/>
      <c r="AC3" s="304"/>
      <c r="AD3" s="304"/>
      <c r="AE3" s="304"/>
      <c r="AF3" s="306"/>
      <c r="AG3" s="306"/>
      <c r="AH3" s="306"/>
      <c r="AI3" s="306"/>
      <c r="AJ3" s="306"/>
      <c r="AK3" s="306"/>
      <c r="AL3" s="306"/>
      <c r="AM3" s="306"/>
      <c r="AN3" s="306"/>
      <c r="AO3" s="306"/>
      <c r="AP3" s="306"/>
      <c r="AQ3" s="306"/>
      <c r="AR3" s="306"/>
      <c r="AS3" s="306"/>
      <c r="AT3" s="306"/>
      <c r="AU3" s="306"/>
      <c r="AV3" s="306"/>
      <c r="AW3" s="306"/>
      <c r="AX3" s="306"/>
      <c r="AY3" s="306"/>
      <c r="AZ3" s="306"/>
      <c r="BA3" s="299"/>
      <c r="BB3" s="184"/>
      <c r="BC3" s="184"/>
      <c r="BD3" s="184"/>
    </row>
    <row r="4" spans="1:56" ht="5.0999999999999996" customHeight="1" thickBot="1" x14ac:dyDescent="0.25">
      <c r="A4" s="181"/>
      <c r="B4" s="304"/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  <c r="AG4" s="307"/>
      <c r="AH4" s="307"/>
      <c r="AI4" s="307"/>
      <c r="AJ4" s="307"/>
      <c r="AK4" s="307"/>
      <c r="AL4" s="307"/>
      <c r="AM4" s="307"/>
      <c r="AN4" s="307"/>
      <c r="AO4" s="307"/>
      <c r="AP4" s="307"/>
      <c r="AQ4" s="307"/>
      <c r="AR4" s="307"/>
      <c r="AS4" s="307"/>
      <c r="AT4" s="307"/>
      <c r="AU4" s="307"/>
      <c r="AV4" s="307"/>
      <c r="AW4" s="307"/>
      <c r="AX4" s="307"/>
      <c r="AY4" s="307"/>
      <c r="AZ4" s="306"/>
      <c r="BA4" s="299"/>
      <c r="BB4" s="184"/>
      <c r="BC4" s="184"/>
      <c r="BD4" s="184"/>
    </row>
    <row r="5" spans="1:56" ht="24.95" customHeight="1" thickBot="1" x14ac:dyDescent="0.25">
      <c r="A5" s="181"/>
      <c r="B5" s="304"/>
      <c r="C5" s="669" t="s">
        <v>4</v>
      </c>
      <c r="D5" s="670"/>
      <c r="E5" s="670"/>
      <c r="F5" s="670"/>
      <c r="G5" s="670"/>
      <c r="H5" s="670"/>
      <c r="I5" s="670"/>
      <c r="J5" s="670"/>
      <c r="K5" s="670"/>
      <c r="L5" s="670"/>
      <c r="M5" s="670"/>
      <c r="N5" s="670"/>
      <c r="O5" s="670"/>
      <c r="P5" s="670"/>
      <c r="Q5" s="670"/>
      <c r="R5" s="670"/>
      <c r="S5" s="670"/>
      <c r="T5" s="670"/>
      <c r="U5" s="670"/>
      <c r="V5" s="671"/>
      <c r="W5" s="332"/>
      <c r="X5" s="332"/>
      <c r="Y5" s="332"/>
      <c r="Z5" s="332"/>
      <c r="AA5" s="332"/>
      <c r="AB5" s="307"/>
      <c r="AC5" s="304"/>
      <c r="AD5" s="304"/>
      <c r="AE5" s="304"/>
      <c r="AF5" s="306"/>
      <c r="AG5" s="306"/>
      <c r="AH5" s="306"/>
      <c r="AI5" s="306"/>
      <c r="AJ5" s="306"/>
      <c r="AK5" s="306"/>
      <c r="AL5" s="306"/>
      <c r="AM5" s="306"/>
      <c r="AN5" s="306"/>
      <c r="AO5" s="306"/>
      <c r="AP5" s="306"/>
      <c r="AQ5" s="306"/>
      <c r="AR5" s="306"/>
      <c r="AS5" s="306"/>
      <c r="AT5" s="306"/>
      <c r="AU5" s="306"/>
      <c r="AV5" s="306"/>
      <c r="AW5" s="306"/>
      <c r="AX5" s="306"/>
      <c r="AY5" s="306"/>
      <c r="AZ5" s="306"/>
      <c r="BA5" s="299"/>
      <c r="BB5" s="184"/>
      <c r="BC5" s="184"/>
      <c r="BD5" s="184"/>
    </row>
    <row r="6" spans="1:56" ht="9.9499999999999993" customHeight="1" thickBot="1" x14ac:dyDescent="0.25">
      <c r="A6" s="181"/>
      <c r="B6" s="304"/>
      <c r="C6" s="304"/>
      <c r="D6" s="304"/>
      <c r="E6" s="304"/>
      <c r="F6" s="304"/>
      <c r="G6" s="305"/>
      <c r="H6" s="305"/>
      <c r="I6" s="305"/>
      <c r="J6" s="305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304"/>
      <c r="Z6" s="304"/>
      <c r="AA6" s="304"/>
      <c r="AB6" s="304"/>
      <c r="AC6" s="304"/>
      <c r="AD6" s="304"/>
      <c r="AE6" s="304"/>
      <c r="AF6" s="305"/>
      <c r="AG6" s="305"/>
      <c r="AH6" s="305"/>
      <c r="AI6" s="305"/>
      <c r="AJ6" s="304"/>
      <c r="AK6" s="304"/>
      <c r="AL6" s="304"/>
      <c r="AM6" s="304"/>
      <c r="AN6" s="304"/>
      <c r="AO6" s="304"/>
      <c r="AP6" s="304"/>
      <c r="AQ6" s="304"/>
      <c r="AR6" s="304"/>
      <c r="AS6" s="304"/>
      <c r="AT6" s="304"/>
      <c r="AU6" s="304"/>
      <c r="AV6" s="304"/>
      <c r="AW6" s="304"/>
      <c r="AX6" s="304"/>
      <c r="AY6" s="304"/>
      <c r="AZ6" s="306"/>
      <c r="BA6" s="299"/>
      <c r="BB6" s="184"/>
      <c r="BC6" s="184"/>
      <c r="BD6" s="184"/>
    </row>
    <row r="7" spans="1:56" ht="24.95" customHeight="1" thickBot="1" x14ac:dyDescent="0.25">
      <c r="A7" s="181"/>
      <c r="B7" s="304"/>
      <c r="C7" s="667" t="str">
        <f>Caderno!D7</f>
        <v>BASE</v>
      </c>
      <c r="D7" s="668"/>
      <c r="E7" s="668"/>
      <c r="F7" s="668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85"/>
      <c r="AJ7" s="185"/>
      <c r="AK7" s="185"/>
      <c r="AL7" s="185"/>
      <c r="AM7" s="185"/>
      <c r="AN7" s="185"/>
      <c r="AO7" s="185"/>
      <c r="AP7" s="185"/>
      <c r="AQ7" s="185"/>
      <c r="AR7" s="185"/>
      <c r="AS7" s="185"/>
      <c r="AT7" s="185"/>
      <c r="AU7" s="185"/>
      <c r="AV7" s="185"/>
      <c r="AW7" s="185"/>
      <c r="AX7" s="185"/>
      <c r="AY7" s="186"/>
      <c r="AZ7" s="306"/>
      <c r="BA7" s="299"/>
      <c r="BB7" s="184"/>
      <c r="BC7" s="184"/>
      <c r="BD7" s="184"/>
    </row>
    <row r="8" spans="1:56" ht="9.9499999999999993" customHeight="1" thickBot="1" x14ac:dyDescent="0.25">
      <c r="A8" s="181"/>
      <c r="B8" s="304"/>
      <c r="C8" s="309" t="s">
        <v>26</v>
      </c>
      <c r="D8" s="309"/>
      <c r="E8" s="304"/>
      <c r="F8" s="304"/>
      <c r="G8" s="305"/>
      <c r="H8" s="305"/>
      <c r="I8" s="305"/>
      <c r="J8" s="305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4"/>
      <c r="W8" s="304"/>
      <c r="X8" s="304"/>
      <c r="Y8" s="304"/>
      <c r="Z8" s="304"/>
      <c r="AA8" s="304"/>
      <c r="AB8" s="304"/>
      <c r="AC8" s="309"/>
      <c r="AD8" s="304"/>
      <c r="AE8" s="304"/>
      <c r="AF8" s="305"/>
      <c r="AG8" s="305"/>
      <c r="AH8" s="305"/>
      <c r="AI8" s="305"/>
      <c r="AJ8" s="304"/>
      <c r="AK8" s="304"/>
      <c r="AL8" s="304"/>
      <c r="AM8" s="304"/>
      <c r="AN8" s="304"/>
      <c r="AO8" s="304"/>
      <c r="AP8" s="304"/>
      <c r="AQ8" s="304"/>
      <c r="AR8" s="304"/>
      <c r="AS8" s="304"/>
      <c r="AT8" s="304"/>
      <c r="AU8" s="304"/>
      <c r="AV8" s="304"/>
      <c r="AW8" s="304"/>
      <c r="AX8" s="304"/>
      <c r="AY8" s="304"/>
      <c r="AZ8" s="306"/>
      <c r="BA8" s="299"/>
      <c r="BB8" s="184"/>
      <c r="BC8" s="184"/>
      <c r="BD8" s="184"/>
    </row>
    <row r="9" spans="1:56" ht="12.75" customHeight="1" x14ac:dyDescent="0.2">
      <c r="A9" s="181"/>
      <c r="B9" s="304"/>
      <c r="C9" s="187" t="s">
        <v>26</v>
      </c>
      <c r="D9" s="188"/>
      <c r="E9" s="189"/>
      <c r="F9" s="189"/>
      <c r="G9" s="190"/>
      <c r="H9" s="190"/>
      <c r="I9" s="190"/>
      <c r="J9" s="190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91"/>
      <c r="V9" s="304"/>
      <c r="W9" s="304"/>
      <c r="X9" s="304"/>
      <c r="Y9" s="304"/>
      <c r="Z9" s="304"/>
      <c r="AA9" s="304"/>
      <c r="AB9" s="304"/>
      <c r="AC9" s="309"/>
      <c r="AD9" s="304"/>
      <c r="AE9" s="304"/>
      <c r="AF9" s="305"/>
      <c r="AG9" s="305"/>
      <c r="AH9" s="305"/>
      <c r="AI9" s="305"/>
      <c r="AJ9" s="304"/>
      <c r="AK9" s="304"/>
      <c r="AL9" s="304"/>
      <c r="AM9" s="304"/>
      <c r="AN9" s="304"/>
      <c r="AO9" s="304"/>
      <c r="AP9" s="304"/>
      <c r="AQ9" s="304"/>
      <c r="AR9" s="304"/>
      <c r="AS9" s="304"/>
      <c r="AT9" s="304"/>
      <c r="AU9" s="304"/>
      <c r="AV9" s="304"/>
      <c r="AW9" s="304"/>
      <c r="AX9" s="304"/>
      <c r="AY9" s="304"/>
      <c r="AZ9" s="306"/>
      <c r="BA9" s="299"/>
      <c r="BB9" s="184"/>
      <c r="BC9" s="184"/>
      <c r="BD9" s="184"/>
    </row>
    <row r="10" spans="1:56" ht="24.75" customHeight="1" x14ac:dyDescent="0.2">
      <c r="A10" s="181"/>
      <c r="B10" s="304"/>
      <c r="C10" s="192"/>
      <c r="D10" s="193"/>
      <c r="E10" s="193"/>
      <c r="F10" s="194"/>
      <c r="G10" s="195"/>
      <c r="H10" s="195"/>
      <c r="I10" s="678" t="s">
        <v>23</v>
      </c>
      <c r="J10" s="678"/>
      <c r="K10" s="678"/>
      <c r="L10" s="678"/>
      <c r="M10" s="678"/>
      <c r="N10" s="678"/>
      <c r="O10" s="678"/>
      <c r="P10" s="678"/>
      <c r="Q10" s="678"/>
      <c r="R10" s="678"/>
      <c r="S10" s="678"/>
      <c r="T10" s="678"/>
      <c r="U10" s="196"/>
      <c r="V10" s="318"/>
      <c r="W10" s="304"/>
      <c r="X10" s="304"/>
      <c r="Y10" s="304"/>
      <c r="Z10" s="304"/>
      <c r="AA10" s="304"/>
      <c r="AB10" s="304"/>
      <c r="AC10" s="304"/>
      <c r="AD10" s="304"/>
      <c r="AE10" s="319"/>
      <c r="AF10" s="320"/>
      <c r="AG10" s="320"/>
      <c r="AH10" s="321"/>
      <c r="AI10" s="321"/>
      <c r="AJ10" s="321"/>
      <c r="AK10" s="321"/>
      <c r="AL10" s="321"/>
      <c r="AM10" s="321"/>
      <c r="AN10" s="321"/>
      <c r="AO10" s="321"/>
      <c r="AP10" s="321"/>
      <c r="AQ10" s="321"/>
      <c r="AR10" s="321"/>
      <c r="AS10" s="321"/>
      <c r="AT10" s="304"/>
      <c r="AU10" s="318"/>
      <c r="AV10" s="304"/>
      <c r="AW10" s="304"/>
      <c r="AX10" s="304"/>
      <c r="AY10" s="304"/>
      <c r="AZ10" s="306"/>
      <c r="BA10" s="299"/>
      <c r="BB10" s="184"/>
      <c r="BC10" s="184"/>
      <c r="BD10" s="184"/>
    </row>
    <row r="11" spans="1:56" ht="5.0999999999999996" customHeight="1" thickBot="1" x14ac:dyDescent="0.25">
      <c r="A11" s="181"/>
      <c r="B11" s="304"/>
      <c r="C11" s="192"/>
      <c r="D11" s="197"/>
      <c r="E11" s="198"/>
      <c r="F11" s="198"/>
      <c r="G11" s="198"/>
      <c r="H11" s="198"/>
      <c r="I11" s="193"/>
      <c r="J11" s="193"/>
      <c r="K11" s="199"/>
      <c r="L11" s="199"/>
      <c r="M11" s="193"/>
      <c r="N11" s="193"/>
      <c r="O11" s="193"/>
      <c r="P11" s="200"/>
      <c r="Q11" s="200"/>
      <c r="R11" s="200"/>
      <c r="S11" s="200"/>
      <c r="T11" s="200"/>
      <c r="U11" s="196"/>
      <c r="V11" s="318"/>
      <c r="W11" s="304"/>
      <c r="X11" s="304"/>
      <c r="Y11" s="304"/>
      <c r="Z11" s="304"/>
      <c r="AA11" s="304"/>
      <c r="AB11" s="304"/>
      <c r="AC11" s="309"/>
      <c r="AD11" s="322"/>
      <c r="AE11" s="322"/>
      <c r="AF11" s="322"/>
      <c r="AG11" s="322"/>
      <c r="AH11" s="304"/>
      <c r="AI11" s="304"/>
      <c r="AJ11" s="305"/>
      <c r="AK11" s="305"/>
      <c r="AL11" s="304"/>
      <c r="AM11" s="304"/>
      <c r="AN11" s="304"/>
      <c r="AO11" s="310"/>
      <c r="AP11" s="310"/>
      <c r="AQ11" s="310"/>
      <c r="AR11" s="310"/>
      <c r="AS11" s="310"/>
      <c r="AT11" s="304"/>
      <c r="AU11" s="318"/>
      <c r="AV11" s="304"/>
      <c r="AW11" s="304"/>
      <c r="AX11" s="304"/>
      <c r="AY11" s="304"/>
      <c r="AZ11" s="306"/>
      <c r="BA11" s="299"/>
      <c r="BB11" s="184"/>
      <c r="BC11" s="184"/>
      <c r="BD11" s="184"/>
    </row>
    <row r="12" spans="1:56" s="10" customFormat="1" ht="13.5" customHeight="1" thickBot="1" x14ac:dyDescent="0.25">
      <c r="A12" s="301"/>
      <c r="B12" s="308"/>
      <c r="C12" s="202"/>
      <c r="D12" s="661" t="s">
        <v>17</v>
      </c>
      <c r="E12" s="203"/>
      <c r="F12" s="195"/>
      <c r="G12" s="203"/>
      <c r="H12" s="610">
        <v>100</v>
      </c>
      <c r="I12" s="611"/>
      <c r="J12" s="610">
        <v>50</v>
      </c>
      <c r="K12" s="611"/>
      <c r="L12" s="610">
        <v>20</v>
      </c>
      <c r="M12" s="611"/>
      <c r="N12" s="610">
        <v>10</v>
      </c>
      <c r="O12" s="626"/>
      <c r="P12" s="611"/>
      <c r="Q12" s="610">
        <v>5</v>
      </c>
      <c r="R12" s="611"/>
      <c r="S12" s="610">
        <v>2</v>
      </c>
      <c r="T12" s="611"/>
      <c r="U12" s="204"/>
      <c r="V12" s="323"/>
      <c r="W12" s="315"/>
      <c r="X12" s="600" t="s">
        <v>76</v>
      </c>
      <c r="Y12" s="601"/>
      <c r="Z12" s="601"/>
      <c r="AA12" s="601"/>
      <c r="AB12" s="601"/>
      <c r="AC12" s="601"/>
      <c r="AD12" s="601"/>
      <c r="AE12" s="602"/>
      <c r="AF12" s="315"/>
      <c r="AG12" s="315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15"/>
      <c r="AU12" s="323"/>
      <c r="AV12" s="315"/>
      <c r="AW12" s="318"/>
      <c r="AX12" s="315"/>
      <c r="AY12" s="331"/>
      <c r="AZ12" s="308"/>
      <c r="BA12" s="300"/>
      <c r="BB12" s="201"/>
      <c r="BC12" s="201"/>
      <c r="BD12" s="201"/>
    </row>
    <row r="13" spans="1:56" s="10" customFormat="1" ht="5.0999999999999996" customHeight="1" thickBot="1" x14ac:dyDescent="0.25">
      <c r="A13" s="301"/>
      <c r="B13" s="308"/>
      <c r="C13" s="202"/>
      <c r="D13" s="662"/>
      <c r="E13" s="203"/>
      <c r="F13" s="195"/>
      <c r="G13" s="203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4"/>
      <c r="V13" s="323"/>
      <c r="W13" s="315"/>
      <c r="X13" s="603"/>
      <c r="Y13" s="604"/>
      <c r="Z13" s="604"/>
      <c r="AA13" s="604"/>
      <c r="AB13" s="604"/>
      <c r="AC13" s="604"/>
      <c r="AD13" s="604"/>
      <c r="AE13" s="605"/>
      <c r="AF13" s="315"/>
      <c r="AG13" s="315"/>
      <c r="AH13" s="324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15"/>
      <c r="AU13" s="323"/>
      <c r="AV13" s="315"/>
      <c r="AW13" s="318"/>
      <c r="AX13" s="315"/>
      <c r="AY13" s="331"/>
      <c r="AZ13" s="308"/>
      <c r="BA13" s="300"/>
      <c r="BB13" s="201"/>
      <c r="BC13" s="201"/>
      <c r="BD13" s="201"/>
    </row>
    <row r="14" spans="1:56" s="10" customFormat="1" ht="13.5" customHeight="1" thickBot="1" x14ac:dyDescent="0.25">
      <c r="A14" s="301"/>
      <c r="B14" s="308"/>
      <c r="C14" s="202"/>
      <c r="D14" s="662"/>
      <c r="E14" s="203"/>
      <c r="F14" s="195"/>
      <c r="G14" s="203"/>
      <c r="H14" s="409" t="s">
        <v>73</v>
      </c>
      <c r="I14" s="410" t="s">
        <v>74</v>
      </c>
      <c r="J14" s="409" t="s">
        <v>73</v>
      </c>
      <c r="K14" s="410" t="s">
        <v>74</v>
      </c>
      <c r="L14" s="409" t="s">
        <v>73</v>
      </c>
      <c r="M14" s="410" t="s">
        <v>74</v>
      </c>
      <c r="N14" s="409" t="s">
        <v>73</v>
      </c>
      <c r="O14" s="411" t="s">
        <v>74</v>
      </c>
      <c r="P14" s="410" t="s">
        <v>62</v>
      </c>
      <c r="Q14" s="409" t="s">
        <v>73</v>
      </c>
      <c r="R14" s="410" t="s">
        <v>74</v>
      </c>
      <c r="S14" s="409" t="s">
        <v>73</v>
      </c>
      <c r="T14" s="410" t="s">
        <v>74</v>
      </c>
      <c r="U14" s="204"/>
      <c r="V14" s="323"/>
      <c r="W14" s="315"/>
      <c r="X14" s="603"/>
      <c r="Y14" s="604"/>
      <c r="Z14" s="604"/>
      <c r="AA14" s="604"/>
      <c r="AB14" s="604"/>
      <c r="AC14" s="604"/>
      <c r="AD14" s="604"/>
      <c r="AE14" s="605"/>
      <c r="AF14" s="315"/>
      <c r="AG14" s="315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15"/>
      <c r="AU14" s="323"/>
      <c r="AV14" s="315"/>
      <c r="AW14" s="318"/>
      <c r="AX14" s="315"/>
      <c r="AY14" s="331"/>
      <c r="AZ14" s="308"/>
      <c r="BA14" s="300"/>
      <c r="BB14" s="201"/>
      <c r="BC14" s="201"/>
      <c r="BD14" s="201"/>
    </row>
    <row r="15" spans="1:56" s="10" customFormat="1" ht="5.0999999999999996" customHeight="1" thickBot="1" x14ac:dyDescent="0.25">
      <c r="A15" s="301"/>
      <c r="B15" s="308"/>
      <c r="C15" s="202"/>
      <c r="D15" s="662"/>
      <c r="E15" s="203"/>
      <c r="F15" s="195"/>
      <c r="G15" s="203"/>
      <c r="H15" s="203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4"/>
      <c r="V15" s="323"/>
      <c r="W15" s="315"/>
      <c r="X15" s="603"/>
      <c r="Y15" s="604"/>
      <c r="Z15" s="604"/>
      <c r="AA15" s="604"/>
      <c r="AB15" s="604"/>
      <c r="AC15" s="604"/>
      <c r="AD15" s="604"/>
      <c r="AE15" s="605"/>
      <c r="AF15" s="315"/>
      <c r="AG15" s="315"/>
      <c r="AH15" s="324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15"/>
      <c r="AU15" s="323"/>
      <c r="AV15" s="315"/>
      <c r="AW15" s="318"/>
      <c r="AX15" s="315"/>
      <c r="AY15" s="331"/>
      <c r="AZ15" s="308"/>
      <c r="BA15" s="300"/>
      <c r="BB15" s="201"/>
      <c r="BC15" s="201"/>
      <c r="BD15" s="201"/>
    </row>
    <row r="16" spans="1:56" customFormat="1" ht="13.5" thickBot="1" x14ac:dyDescent="0.25">
      <c r="A16" s="301"/>
      <c r="B16" s="308"/>
      <c r="C16" s="202"/>
      <c r="D16" s="662"/>
      <c r="E16" s="203"/>
      <c r="F16" s="207" t="e">
        <f>C7-1</f>
        <v>#VALUE!</v>
      </c>
      <c r="G16" s="203"/>
      <c r="H16" s="406"/>
      <c r="I16" s="288"/>
      <c r="J16" s="406"/>
      <c r="K16" s="288"/>
      <c r="L16" s="406"/>
      <c r="M16" s="288"/>
      <c r="N16" s="406"/>
      <c r="O16" s="289"/>
      <c r="P16" s="407"/>
      <c r="Q16" s="287"/>
      <c r="R16" s="407"/>
      <c r="S16" s="287"/>
      <c r="T16" s="407"/>
      <c r="U16" s="204"/>
      <c r="V16" s="323"/>
      <c r="W16" s="315"/>
      <c r="X16" s="603"/>
      <c r="Y16" s="604"/>
      <c r="Z16" s="604"/>
      <c r="AA16" s="604"/>
      <c r="AB16" s="604"/>
      <c r="AC16" s="604"/>
      <c r="AD16" s="604"/>
      <c r="AE16" s="605"/>
      <c r="AF16" s="315"/>
      <c r="AG16" s="31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15"/>
      <c r="AU16" s="323"/>
      <c r="AV16" s="315"/>
      <c r="AW16" s="318"/>
      <c r="AX16" s="315"/>
      <c r="AY16" s="331"/>
      <c r="AZ16" s="308"/>
      <c r="BA16" s="300"/>
      <c r="BB16" s="206"/>
      <c r="BC16" s="206"/>
      <c r="BD16" s="206"/>
    </row>
    <row r="17" spans="1:56" customFormat="1" ht="5.0999999999999996" customHeight="1" thickBot="1" x14ac:dyDescent="0.25">
      <c r="A17" s="301"/>
      <c r="B17" s="308"/>
      <c r="C17" s="202"/>
      <c r="D17" s="662"/>
      <c r="E17" s="203"/>
      <c r="F17" s="195"/>
      <c r="G17" s="203"/>
      <c r="H17" s="476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4"/>
      <c r="V17" s="323"/>
      <c r="W17" s="315"/>
      <c r="X17" s="603"/>
      <c r="Y17" s="604"/>
      <c r="Z17" s="604"/>
      <c r="AA17" s="604"/>
      <c r="AB17" s="604"/>
      <c r="AC17" s="604"/>
      <c r="AD17" s="604"/>
      <c r="AE17" s="605"/>
      <c r="AF17" s="315"/>
      <c r="AG17" s="315"/>
      <c r="AH17" s="325"/>
      <c r="AI17" s="325"/>
      <c r="AJ17" s="325"/>
      <c r="AK17" s="325"/>
      <c r="AL17" s="325"/>
      <c r="AM17" s="325"/>
      <c r="AN17" s="325"/>
      <c r="AO17" s="325"/>
      <c r="AP17" s="325"/>
      <c r="AQ17" s="325"/>
      <c r="AR17" s="325"/>
      <c r="AS17" s="325"/>
      <c r="AT17" s="315"/>
      <c r="AU17" s="323"/>
      <c r="AV17" s="315"/>
      <c r="AW17" s="318"/>
      <c r="AX17" s="315"/>
      <c r="AY17" s="331"/>
      <c r="AZ17" s="308"/>
      <c r="BA17" s="300"/>
      <c r="BB17" s="206"/>
      <c r="BC17" s="206"/>
      <c r="BD17" s="206"/>
    </row>
    <row r="18" spans="1:56" customFormat="1" ht="13.5" thickBot="1" x14ac:dyDescent="0.25">
      <c r="A18" s="301"/>
      <c r="B18" s="308"/>
      <c r="C18" s="202"/>
      <c r="D18" s="663"/>
      <c r="E18" s="203"/>
      <c r="F18" s="408" t="s">
        <v>48</v>
      </c>
      <c r="G18" s="203"/>
      <c r="H18" s="477"/>
      <c r="I18" s="478"/>
      <c r="J18" s="477"/>
      <c r="K18" s="478"/>
      <c r="L18" s="477"/>
      <c r="M18" s="478"/>
      <c r="N18" s="477"/>
      <c r="O18" s="479"/>
      <c r="P18" s="480"/>
      <c r="Q18" s="481"/>
      <c r="R18" s="480"/>
      <c r="S18" s="481"/>
      <c r="T18" s="480"/>
      <c r="U18" s="204"/>
      <c r="V18" s="323"/>
      <c r="W18" s="315"/>
      <c r="X18" s="603"/>
      <c r="Y18" s="604"/>
      <c r="Z18" s="604"/>
      <c r="AA18" s="604"/>
      <c r="AB18" s="604"/>
      <c r="AC18" s="604"/>
      <c r="AD18" s="604"/>
      <c r="AE18" s="605"/>
      <c r="AF18" s="315"/>
      <c r="AG18" s="315"/>
      <c r="AH18" s="325"/>
      <c r="AI18" s="325"/>
      <c r="AJ18" s="325"/>
      <c r="AK18" s="325"/>
      <c r="AL18" s="325"/>
      <c r="AM18" s="325"/>
      <c r="AN18" s="325"/>
      <c r="AO18" s="325"/>
      <c r="AP18" s="325"/>
      <c r="AQ18" s="325"/>
      <c r="AR18" s="325"/>
      <c r="AS18" s="325"/>
      <c r="AT18" s="315"/>
      <c r="AU18" s="323"/>
      <c r="AV18" s="315"/>
      <c r="AW18" s="318"/>
      <c r="AX18" s="315"/>
      <c r="AY18" s="331"/>
      <c r="AZ18" s="308"/>
      <c r="BA18" s="300"/>
      <c r="BB18" s="206"/>
      <c r="BC18" s="206"/>
      <c r="BD18" s="206"/>
    </row>
    <row r="19" spans="1:56" customFormat="1" ht="5.0999999999999996" customHeight="1" thickBot="1" x14ac:dyDescent="0.25">
      <c r="A19" s="301"/>
      <c r="B19" s="308"/>
      <c r="C19" s="202"/>
      <c r="D19" s="195"/>
      <c r="E19" s="203"/>
      <c r="F19" s="195"/>
      <c r="G19" s="203"/>
      <c r="H19" s="203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09"/>
      <c r="T19" s="209"/>
      <c r="U19" s="204"/>
      <c r="V19" s="323"/>
      <c r="W19" s="315"/>
      <c r="X19" s="603"/>
      <c r="Y19" s="604"/>
      <c r="Z19" s="604"/>
      <c r="AA19" s="604"/>
      <c r="AB19" s="604"/>
      <c r="AC19" s="604"/>
      <c r="AD19" s="604"/>
      <c r="AE19" s="605"/>
      <c r="AF19" s="315"/>
      <c r="AG19" s="315"/>
      <c r="AH19" s="326"/>
      <c r="AI19" s="326"/>
      <c r="AJ19" s="326"/>
      <c r="AK19" s="326"/>
      <c r="AL19" s="326"/>
      <c r="AM19" s="326"/>
      <c r="AN19" s="326"/>
      <c r="AO19" s="326"/>
      <c r="AP19" s="326"/>
      <c r="AQ19" s="326"/>
      <c r="AR19" s="326"/>
      <c r="AS19" s="326"/>
      <c r="AT19" s="315"/>
      <c r="AU19" s="323"/>
      <c r="AV19" s="315"/>
      <c r="AW19" s="318"/>
      <c r="AX19" s="315"/>
      <c r="AY19" s="331"/>
      <c r="AZ19" s="308"/>
      <c r="BA19" s="300"/>
      <c r="BB19" s="206"/>
      <c r="BC19" s="206"/>
      <c r="BD19" s="206"/>
    </row>
    <row r="20" spans="1:56" s="10" customFormat="1" ht="13.5" thickBot="1" x14ac:dyDescent="0.25">
      <c r="A20" s="301"/>
      <c r="B20" s="308"/>
      <c r="C20" s="202"/>
      <c r="D20" s="661" t="s">
        <v>1</v>
      </c>
      <c r="E20" s="203"/>
      <c r="F20" s="195"/>
      <c r="G20" s="203"/>
      <c r="H20" s="612">
        <f>H12*(H16+H18+I16+I18)</f>
        <v>0</v>
      </c>
      <c r="I20" s="613"/>
      <c r="J20" s="612">
        <f>J12*(J16+J18+K16+K18)</f>
        <v>0</v>
      </c>
      <c r="K20" s="613"/>
      <c r="L20" s="612">
        <f>L12*(L16+L18+M16+M18)</f>
        <v>0</v>
      </c>
      <c r="M20" s="613"/>
      <c r="N20" s="612">
        <f>N12*(N16+N18+O16+O18+P16+P18)</f>
        <v>0</v>
      </c>
      <c r="O20" s="627"/>
      <c r="P20" s="613"/>
      <c r="Q20" s="612">
        <f>Q12*(Q16+Q18+R16+R18)</f>
        <v>0</v>
      </c>
      <c r="R20" s="613"/>
      <c r="S20" s="612">
        <f>S12*(S16+S18+T16+T18)</f>
        <v>0</v>
      </c>
      <c r="T20" s="613"/>
      <c r="U20" s="204"/>
      <c r="V20" s="327"/>
      <c r="W20" s="308"/>
      <c r="X20" s="606"/>
      <c r="Y20" s="607"/>
      <c r="Z20" s="607"/>
      <c r="AA20" s="607"/>
      <c r="AB20" s="607"/>
      <c r="AC20" s="607"/>
      <c r="AD20" s="607"/>
      <c r="AE20" s="608"/>
      <c r="AF20" s="315"/>
      <c r="AG20" s="315"/>
      <c r="AH20" s="328"/>
      <c r="AI20" s="328"/>
      <c r="AJ20" s="328"/>
      <c r="AK20" s="328"/>
      <c r="AL20" s="328"/>
      <c r="AM20" s="328"/>
      <c r="AN20" s="328"/>
      <c r="AO20" s="328"/>
      <c r="AP20" s="328"/>
      <c r="AQ20" s="328"/>
      <c r="AR20" s="328"/>
      <c r="AS20" s="328"/>
      <c r="AT20" s="315"/>
      <c r="AU20" s="323"/>
      <c r="AV20" s="315"/>
      <c r="AW20" s="318"/>
      <c r="AX20" s="308"/>
      <c r="AY20" s="314"/>
      <c r="AZ20" s="308"/>
      <c r="BA20" s="300"/>
      <c r="BB20" s="201"/>
      <c r="BC20" s="201"/>
      <c r="BD20" s="201"/>
    </row>
    <row r="21" spans="1:56" s="10" customFormat="1" ht="13.5" thickBot="1" x14ac:dyDescent="0.25">
      <c r="A21" s="301"/>
      <c r="B21" s="308"/>
      <c r="C21" s="202"/>
      <c r="D21" s="662"/>
      <c r="E21" s="203"/>
      <c r="F21" s="195"/>
      <c r="G21" s="203"/>
      <c r="H21" s="203"/>
      <c r="I21" s="278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04"/>
      <c r="V21" s="327"/>
      <c r="W21" s="308"/>
      <c r="X21" s="329"/>
      <c r="Y21" s="308"/>
      <c r="Z21" s="314"/>
      <c r="AA21" s="308"/>
      <c r="AB21" s="308"/>
      <c r="AC21" s="320"/>
      <c r="AD21" s="315"/>
      <c r="AE21" s="320"/>
      <c r="AF21" s="315"/>
      <c r="AG21" s="315"/>
      <c r="AH21" s="328"/>
      <c r="AI21" s="328"/>
      <c r="AJ21" s="328"/>
      <c r="AK21" s="328"/>
      <c r="AL21" s="328"/>
      <c r="AM21" s="328"/>
      <c r="AN21" s="328"/>
      <c r="AO21" s="328"/>
      <c r="AP21" s="328"/>
      <c r="AQ21" s="328"/>
      <c r="AR21" s="328"/>
      <c r="AS21" s="328"/>
      <c r="AT21" s="315"/>
      <c r="AU21" s="323"/>
      <c r="AV21" s="315"/>
      <c r="AW21" s="318"/>
      <c r="AX21" s="308"/>
      <c r="AY21" s="314"/>
      <c r="AZ21" s="308"/>
      <c r="BA21" s="300"/>
      <c r="BB21" s="201"/>
      <c r="BC21" s="201"/>
      <c r="BD21" s="201"/>
    </row>
    <row r="22" spans="1:56" s="10" customFormat="1" ht="13.5" thickBot="1" x14ac:dyDescent="0.25">
      <c r="A22" s="301"/>
      <c r="B22" s="308"/>
      <c r="C22" s="202"/>
      <c r="D22" s="663"/>
      <c r="E22" s="203"/>
      <c r="F22" s="195"/>
      <c r="G22" s="203"/>
      <c r="H22" s="597">
        <f>SUM(H20:T20)</f>
        <v>0</v>
      </c>
      <c r="I22" s="598"/>
      <c r="J22" s="598"/>
      <c r="K22" s="598"/>
      <c r="L22" s="598"/>
      <c r="M22" s="598"/>
      <c r="N22" s="598"/>
      <c r="O22" s="598"/>
      <c r="P22" s="598"/>
      <c r="Q22" s="598"/>
      <c r="R22" s="598"/>
      <c r="S22" s="598"/>
      <c r="T22" s="599"/>
      <c r="U22" s="204"/>
      <c r="V22" s="313"/>
      <c r="W22" s="308"/>
      <c r="X22" s="308"/>
      <c r="Y22" s="308"/>
      <c r="Z22" s="314"/>
      <c r="AA22" s="308"/>
      <c r="AB22" s="308"/>
      <c r="AC22" s="320"/>
      <c r="AD22" s="315"/>
      <c r="AE22" s="320"/>
      <c r="AF22" s="315"/>
      <c r="AG22" s="315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15"/>
      <c r="AU22" s="317"/>
      <c r="AV22" s="315"/>
      <c r="AW22" s="315"/>
      <c r="AX22" s="308"/>
      <c r="AY22" s="314"/>
      <c r="AZ22" s="308"/>
      <c r="BA22" s="300"/>
      <c r="BB22" s="201"/>
      <c r="BC22" s="201"/>
      <c r="BD22" s="201"/>
    </row>
    <row r="23" spans="1:56" s="10" customFormat="1" ht="16.5" customHeight="1" thickBot="1" x14ac:dyDescent="0.25">
      <c r="A23" s="301"/>
      <c r="B23" s="308"/>
      <c r="C23" s="211"/>
      <c r="D23" s="212"/>
      <c r="E23" s="213"/>
      <c r="F23" s="212"/>
      <c r="G23" s="213"/>
      <c r="H23" s="213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0">
        <f>H22</f>
        <v>0</v>
      </c>
      <c r="U23" s="215"/>
      <c r="V23" s="313"/>
      <c r="W23" s="308"/>
      <c r="X23" s="308"/>
      <c r="Y23" s="308"/>
      <c r="Z23" s="314"/>
      <c r="AA23" s="308"/>
      <c r="AB23" s="315"/>
      <c r="AC23" s="310"/>
      <c r="AD23" s="315"/>
      <c r="AE23" s="315"/>
      <c r="AF23" s="315"/>
      <c r="AG23" s="315"/>
      <c r="AH23" s="315"/>
      <c r="AI23" s="315"/>
      <c r="AJ23" s="315"/>
      <c r="AK23" s="315"/>
      <c r="AL23" s="315"/>
      <c r="AM23" s="315"/>
      <c r="AN23" s="315"/>
      <c r="AO23" s="315"/>
      <c r="AP23" s="315"/>
      <c r="AQ23" s="315"/>
      <c r="AR23" s="315"/>
      <c r="AS23" s="315"/>
      <c r="AT23" s="315"/>
      <c r="AU23" s="317"/>
      <c r="AV23" s="315"/>
      <c r="AW23" s="315"/>
      <c r="AX23" s="308"/>
      <c r="AY23" s="314"/>
      <c r="AZ23" s="308"/>
      <c r="BA23" s="300"/>
      <c r="BB23" s="201"/>
      <c r="BC23" s="201"/>
      <c r="BD23" s="201"/>
    </row>
    <row r="24" spans="1:56" s="10" customFormat="1" ht="13.5" thickBot="1" x14ac:dyDescent="0.25">
      <c r="A24" s="301"/>
      <c r="B24" s="308"/>
      <c r="C24" s="308" t="s">
        <v>49</v>
      </c>
      <c r="D24" s="310"/>
      <c r="E24" s="308"/>
      <c r="F24" s="311"/>
      <c r="G24" s="308"/>
      <c r="H24" s="308"/>
      <c r="I24" s="312"/>
      <c r="J24" s="312"/>
      <c r="K24" s="312"/>
      <c r="L24" s="312"/>
      <c r="M24" s="312"/>
      <c r="N24" s="312"/>
      <c r="O24" s="312"/>
      <c r="P24" s="312"/>
      <c r="Q24" s="312"/>
      <c r="R24" s="312"/>
      <c r="S24" s="312"/>
      <c r="T24" s="312"/>
      <c r="U24" s="308"/>
      <c r="V24" s="313"/>
      <c r="W24" s="308"/>
      <c r="X24" s="308"/>
      <c r="Y24" s="308"/>
      <c r="Z24" s="314"/>
      <c r="AA24" s="308"/>
      <c r="AB24" s="315"/>
      <c r="AC24" s="310"/>
      <c r="AD24" s="316"/>
      <c r="AE24" s="316"/>
      <c r="AF24" s="316"/>
      <c r="AG24" s="316"/>
      <c r="AH24" s="316"/>
      <c r="AI24" s="316"/>
      <c r="AJ24" s="316"/>
      <c r="AK24" s="316"/>
      <c r="AL24" s="316"/>
      <c r="AM24" s="316"/>
      <c r="AN24" s="316"/>
      <c r="AO24" s="316"/>
      <c r="AP24" s="316"/>
      <c r="AQ24" s="316"/>
      <c r="AR24" s="316"/>
      <c r="AS24" s="316"/>
      <c r="AT24" s="316"/>
      <c r="AU24" s="317"/>
      <c r="AV24" s="315"/>
      <c r="AW24" s="315"/>
      <c r="AX24" s="308"/>
      <c r="AY24" s="314"/>
      <c r="AZ24" s="308"/>
      <c r="BA24" s="300"/>
      <c r="BB24" s="201"/>
      <c r="BC24" s="201"/>
      <c r="BD24" s="201"/>
    </row>
    <row r="25" spans="1:56" ht="12.75" customHeight="1" x14ac:dyDescent="0.2">
      <c r="A25" s="181"/>
      <c r="B25" s="304"/>
      <c r="C25" s="217" t="s">
        <v>26</v>
      </c>
      <c r="D25" s="218"/>
      <c r="E25" s="219"/>
      <c r="F25" s="219"/>
      <c r="G25" s="220"/>
      <c r="H25" s="220"/>
      <c r="I25" s="220"/>
      <c r="J25" s="220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21"/>
      <c r="V25" s="304"/>
      <c r="W25" s="304"/>
      <c r="X25" s="304"/>
      <c r="Y25" s="304"/>
      <c r="Z25" s="304"/>
      <c r="AA25" s="304"/>
      <c r="AB25" s="304"/>
      <c r="AC25" s="339"/>
      <c r="AD25" s="219"/>
      <c r="AE25" s="222"/>
      <c r="AF25" s="220"/>
      <c r="AG25" s="220"/>
      <c r="AH25" s="220"/>
      <c r="AI25" s="220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21"/>
      <c r="AU25" s="304"/>
      <c r="AV25" s="304"/>
      <c r="AW25" s="304"/>
      <c r="AX25" s="304"/>
      <c r="AY25" s="304"/>
      <c r="AZ25" s="306"/>
      <c r="BA25" s="299"/>
      <c r="BB25" s="184"/>
      <c r="BC25" s="184"/>
      <c r="BD25" s="184"/>
    </row>
    <row r="26" spans="1:56" ht="24.75" customHeight="1" x14ac:dyDescent="0.2">
      <c r="A26" s="181"/>
      <c r="B26" s="304"/>
      <c r="C26" s="136"/>
      <c r="D26" s="683" t="str">
        <f>C7</f>
        <v>BASE</v>
      </c>
      <c r="E26" s="683"/>
      <c r="F26" s="683"/>
      <c r="G26" s="223"/>
      <c r="H26" s="223"/>
      <c r="I26" s="609" t="s">
        <v>16</v>
      </c>
      <c r="J26" s="609"/>
      <c r="K26" s="609"/>
      <c r="L26" s="609"/>
      <c r="M26" s="609"/>
      <c r="N26" s="609"/>
      <c r="O26" s="609"/>
      <c r="P26" s="609"/>
      <c r="Q26" s="609"/>
      <c r="R26" s="609"/>
      <c r="S26" s="609"/>
      <c r="T26" s="609"/>
      <c r="U26" s="148"/>
      <c r="V26" s="318"/>
      <c r="W26" s="304"/>
      <c r="X26" s="304"/>
      <c r="Y26" s="304" t="s">
        <v>26</v>
      </c>
      <c r="Z26" s="304"/>
      <c r="AA26" s="304"/>
      <c r="AB26" s="304"/>
      <c r="AC26" s="340"/>
      <c r="AD26" s="224"/>
      <c r="AE26" s="609" t="s">
        <v>41</v>
      </c>
      <c r="AF26" s="609"/>
      <c r="AG26" s="609"/>
      <c r="AH26" s="609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  <c r="AS26" s="609"/>
      <c r="AT26" s="148"/>
      <c r="AU26" s="318"/>
      <c r="AV26" s="304"/>
      <c r="AW26" s="304"/>
      <c r="AX26" s="304"/>
      <c r="AY26" s="304"/>
      <c r="AZ26" s="306"/>
      <c r="BA26" s="299"/>
      <c r="BB26" s="184"/>
      <c r="BC26" s="184"/>
      <c r="BD26" s="184"/>
    </row>
    <row r="27" spans="1:56" ht="5.0999999999999996" customHeight="1" thickBot="1" x14ac:dyDescent="0.25">
      <c r="A27" s="181"/>
      <c r="B27" s="304"/>
      <c r="C27" s="136"/>
      <c r="D27" s="225"/>
      <c r="E27" s="226"/>
      <c r="F27" s="226"/>
      <c r="G27" s="226"/>
      <c r="H27" s="226"/>
      <c r="I27" s="224"/>
      <c r="J27" s="224"/>
      <c r="K27" s="227"/>
      <c r="L27" s="227"/>
      <c r="M27" s="224"/>
      <c r="N27" s="224"/>
      <c r="O27" s="224"/>
      <c r="P27" s="228"/>
      <c r="Q27" s="228"/>
      <c r="R27" s="228"/>
      <c r="S27" s="228"/>
      <c r="T27" s="228"/>
      <c r="U27" s="148"/>
      <c r="V27" s="318"/>
      <c r="W27" s="304"/>
      <c r="X27" s="304" t="s">
        <v>26</v>
      </c>
      <c r="Y27" s="304"/>
      <c r="Z27" s="304"/>
      <c r="AA27" s="304"/>
      <c r="AB27" s="304"/>
      <c r="AC27" s="339"/>
      <c r="AD27" s="226"/>
      <c r="AE27" s="609"/>
      <c r="AF27" s="609"/>
      <c r="AG27" s="609"/>
      <c r="AH27" s="609"/>
      <c r="AI27" s="609"/>
      <c r="AJ27" s="609"/>
      <c r="AK27" s="609"/>
      <c r="AL27" s="609"/>
      <c r="AM27" s="609"/>
      <c r="AN27" s="609"/>
      <c r="AO27" s="609"/>
      <c r="AP27" s="609"/>
      <c r="AQ27" s="609"/>
      <c r="AR27" s="609"/>
      <c r="AS27" s="609"/>
      <c r="AT27" s="148"/>
      <c r="AU27" s="318"/>
      <c r="AV27" s="304"/>
      <c r="AW27" s="304"/>
      <c r="AX27" s="304"/>
      <c r="AY27" s="304"/>
      <c r="AZ27" s="306"/>
      <c r="BA27" s="299"/>
      <c r="BB27" s="184"/>
      <c r="BC27" s="184"/>
      <c r="BD27" s="184"/>
    </row>
    <row r="28" spans="1:56" s="10" customFormat="1" ht="13.5" customHeight="1" thickBot="1" x14ac:dyDescent="0.25">
      <c r="A28" s="301"/>
      <c r="B28" s="308"/>
      <c r="C28" s="229"/>
      <c r="D28" s="675" t="s">
        <v>7</v>
      </c>
      <c r="E28" s="230"/>
      <c r="F28" s="647" t="s">
        <v>17</v>
      </c>
      <c r="G28" s="230"/>
      <c r="H28" s="610">
        <v>100</v>
      </c>
      <c r="I28" s="611"/>
      <c r="J28" s="610">
        <v>50</v>
      </c>
      <c r="K28" s="611"/>
      <c r="L28" s="610">
        <v>20</v>
      </c>
      <c r="M28" s="611"/>
      <c r="N28" s="610">
        <v>10</v>
      </c>
      <c r="O28" s="626"/>
      <c r="P28" s="611"/>
      <c r="Q28" s="610">
        <v>5</v>
      </c>
      <c r="R28" s="611"/>
      <c r="S28" s="610">
        <v>2</v>
      </c>
      <c r="T28" s="611"/>
      <c r="U28" s="231"/>
      <c r="V28" s="323"/>
      <c r="W28" s="315"/>
      <c r="X28" s="318"/>
      <c r="Y28" s="315"/>
      <c r="Z28" s="331"/>
      <c r="AA28" s="308" t="s">
        <v>26</v>
      </c>
      <c r="AB28" s="315"/>
      <c r="AC28" s="341"/>
      <c r="AD28" s="230"/>
      <c r="AE28" s="664" t="s">
        <v>17</v>
      </c>
      <c r="AF28" s="230"/>
      <c r="AG28" s="610">
        <v>100</v>
      </c>
      <c r="AH28" s="611"/>
      <c r="AI28" s="610">
        <v>50</v>
      </c>
      <c r="AJ28" s="611"/>
      <c r="AK28" s="610">
        <v>20</v>
      </c>
      <c r="AL28" s="611"/>
      <c r="AM28" s="610">
        <v>10</v>
      </c>
      <c r="AN28" s="626"/>
      <c r="AO28" s="611"/>
      <c r="AP28" s="610">
        <v>5</v>
      </c>
      <c r="AQ28" s="611"/>
      <c r="AR28" s="610">
        <v>2</v>
      </c>
      <c r="AS28" s="611"/>
      <c r="AT28" s="231"/>
      <c r="AU28" s="323"/>
      <c r="AV28" s="315"/>
      <c r="AW28" s="318"/>
      <c r="AX28" s="315"/>
      <c r="AY28" s="331"/>
      <c r="AZ28" s="308"/>
      <c r="BA28" s="300"/>
      <c r="BB28" s="201"/>
      <c r="BC28" s="201"/>
      <c r="BD28" s="201"/>
    </row>
    <row r="29" spans="1:56" s="10" customFormat="1" ht="5.0999999999999996" customHeight="1" thickBot="1" x14ac:dyDescent="0.25">
      <c r="A29" s="301"/>
      <c r="B29" s="308"/>
      <c r="C29" s="229"/>
      <c r="D29" s="676"/>
      <c r="E29" s="230"/>
      <c r="F29" s="648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0"/>
      <c r="T29" s="230"/>
      <c r="U29" s="231"/>
      <c r="V29" s="323"/>
      <c r="W29" s="315"/>
      <c r="X29" s="318"/>
      <c r="Y29" s="315"/>
      <c r="Z29" s="331"/>
      <c r="AA29" s="308"/>
      <c r="AB29" s="315"/>
      <c r="AC29" s="341"/>
      <c r="AD29" s="230"/>
      <c r="AE29" s="665"/>
      <c r="AF29" s="230"/>
      <c r="AG29" s="232"/>
      <c r="AH29" s="232"/>
      <c r="AI29" s="232"/>
      <c r="AJ29" s="232"/>
      <c r="AK29" s="232"/>
      <c r="AL29" s="232"/>
      <c r="AM29" s="232"/>
      <c r="AN29" s="232"/>
      <c r="AO29" s="232"/>
      <c r="AP29" s="232"/>
      <c r="AQ29" s="232"/>
      <c r="AR29" s="232"/>
      <c r="AS29" s="232"/>
      <c r="AT29" s="231"/>
      <c r="AU29" s="323"/>
      <c r="AV29" s="315"/>
      <c r="AW29" s="318"/>
      <c r="AX29" s="315"/>
      <c r="AY29" s="331"/>
      <c r="AZ29" s="308"/>
      <c r="BA29" s="300"/>
      <c r="BB29" s="201"/>
      <c r="BC29" s="201"/>
      <c r="BD29" s="201"/>
    </row>
    <row r="30" spans="1:56" s="10" customFormat="1" ht="13.5" customHeight="1" thickBot="1" x14ac:dyDescent="0.25">
      <c r="A30" s="301"/>
      <c r="B30" s="308"/>
      <c r="C30" s="229"/>
      <c r="D30" s="676"/>
      <c r="E30" s="230"/>
      <c r="F30" s="648"/>
      <c r="G30" s="230"/>
      <c r="H30" s="409" t="str">
        <f>H14</f>
        <v>ANTIGO</v>
      </c>
      <c r="I30" s="410" t="str">
        <f t="shared" ref="I30:T30" si="0">I14</f>
        <v>NOVO</v>
      </c>
      <c r="J30" s="409" t="str">
        <f t="shared" si="0"/>
        <v>ANTIGO</v>
      </c>
      <c r="K30" s="410" t="str">
        <f t="shared" si="0"/>
        <v>NOVO</v>
      </c>
      <c r="L30" s="409" t="str">
        <f t="shared" si="0"/>
        <v>ANTIGO</v>
      </c>
      <c r="M30" s="410" t="str">
        <f t="shared" si="0"/>
        <v>NOVO</v>
      </c>
      <c r="N30" s="409" t="str">
        <f t="shared" si="0"/>
        <v>ANTIGO</v>
      </c>
      <c r="O30" s="411" t="str">
        <f t="shared" si="0"/>
        <v>NOVO</v>
      </c>
      <c r="P30" s="410" t="str">
        <f t="shared" si="0"/>
        <v>POLÍMERO</v>
      </c>
      <c r="Q30" s="409" t="str">
        <f t="shared" si="0"/>
        <v>ANTIGO</v>
      </c>
      <c r="R30" s="410" t="str">
        <f t="shared" si="0"/>
        <v>NOVO</v>
      </c>
      <c r="S30" s="409" t="str">
        <f t="shared" si="0"/>
        <v>ANTIGO</v>
      </c>
      <c r="T30" s="410" t="str">
        <f t="shared" si="0"/>
        <v>NOVO</v>
      </c>
      <c r="U30" s="231"/>
      <c r="V30" s="323"/>
      <c r="W30" s="315"/>
      <c r="X30" s="318"/>
      <c r="Y30" s="315"/>
      <c r="Z30" s="331"/>
      <c r="AA30" s="308"/>
      <c r="AB30" s="315"/>
      <c r="AC30" s="341"/>
      <c r="AD30" s="230"/>
      <c r="AE30" s="665"/>
      <c r="AF30" s="230"/>
      <c r="AG30" s="409" t="str">
        <f>AG50</f>
        <v>ANTIGO</v>
      </c>
      <c r="AH30" s="410" t="str">
        <f t="shared" ref="AH30:AS30" si="1">AH50</f>
        <v>NOVO</v>
      </c>
      <c r="AI30" s="409" t="str">
        <f t="shared" si="1"/>
        <v>ANTIGO</v>
      </c>
      <c r="AJ30" s="410" t="str">
        <f t="shared" si="1"/>
        <v>NOVO</v>
      </c>
      <c r="AK30" s="409" t="str">
        <f t="shared" si="1"/>
        <v>ANTIGO</v>
      </c>
      <c r="AL30" s="410" t="str">
        <f t="shared" si="1"/>
        <v>NOVO</v>
      </c>
      <c r="AM30" s="409" t="str">
        <f t="shared" si="1"/>
        <v>ANTIGO</v>
      </c>
      <c r="AN30" s="411" t="str">
        <f t="shared" si="1"/>
        <v>NOVO</v>
      </c>
      <c r="AO30" s="410" t="str">
        <f t="shared" si="1"/>
        <v>POLÍMERO</v>
      </c>
      <c r="AP30" s="409" t="str">
        <f t="shared" si="1"/>
        <v>ANTIGO</v>
      </c>
      <c r="AQ30" s="410" t="str">
        <f t="shared" si="1"/>
        <v>NOVO</v>
      </c>
      <c r="AR30" s="409" t="str">
        <f t="shared" si="1"/>
        <v>ANTIGO</v>
      </c>
      <c r="AS30" s="410" t="str">
        <f t="shared" si="1"/>
        <v>NOVO</v>
      </c>
      <c r="AT30" s="231"/>
      <c r="AU30" s="323"/>
      <c r="AV30" s="315"/>
      <c r="AW30" s="318"/>
      <c r="AX30" s="315"/>
      <c r="AY30" s="331"/>
      <c r="AZ30" s="308"/>
      <c r="BA30" s="300"/>
      <c r="BB30" s="201"/>
      <c r="BC30" s="201"/>
      <c r="BD30" s="201"/>
    </row>
    <row r="31" spans="1:56" s="10" customFormat="1" ht="5.0999999999999996" customHeight="1" thickBot="1" x14ac:dyDescent="0.25">
      <c r="A31" s="301"/>
      <c r="B31" s="308"/>
      <c r="C31" s="229"/>
      <c r="D31" s="676"/>
      <c r="E31" s="230"/>
      <c r="F31" s="648"/>
      <c r="G31" s="230"/>
      <c r="H31" s="230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1"/>
      <c r="V31" s="323"/>
      <c r="W31" s="315"/>
      <c r="X31" s="318"/>
      <c r="Y31" s="315"/>
      <c r="Z31" s="331"/>
      <c r="AA31" s="308"/>
      <c r="AB31" s="315"/>
      <c r="AC31" s="341"/>
      <c r="AD31" s="230"/>
      <c r="AE31" s="665"/>
      <c r="AF31" s="230"/>
      <c r="AG31" s="230"/>
      <c r="AH31" s="233"/>
      <c r="AI31" s="233"/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1"/>
      <c r="AU31" s="323"/>
      <c r="AV31" s="315"/>
      <c r="AW31" s="318"/>
      <c r="AX31" s="315"/>
      <c r="AY31" s="331"/>
      <c r="AZ31" s="308"/>
      <c r="BA31" s="300"/>
      <c r="BB31" s="201"/>
      <c r="BC31" s="201"/>
      <c r="BD31" s="201"/>
    </row>
    <row r="32" spans="1:56" customFormat="1" ht="13.5" thickBot="1" x14ac:dyDescent="0.25">
      <c r="A32" s="301"/>
      <c r="B32" s="308"/>
      <c r="C32" s="229"/>
      <c r="D32" s="676"/>
      <c r="E32" s="230"/>
      <c r="F32" s="649"/>
      <c r="G32" s="230"/>
      <c r="H32" s="364">
        <f>H16+H18+H130</f>
        <v>30</v>
      </c>
      <c r="I32" s="364">
        <f>I16+I18+I130</f>
        <v>0</v>
      </c>
      <c r="J32" s="364">
        <f t="shared" ref="J32:T32" si="2">J16+J18+J130</f>
        <v>0</v>
      </c>
      <c r="K32" s="365">
        <f t="shared" si="2"/>
        <v>0</v>
      </c>
      <c r="L32" s="364">
        <f t="shared" si="2"/>
        <v>0</v>
      </c>
      <c r="M32" s="365">
        <f t="shared" si="2"/>
        <v>0</v>
      </c>
      <c r="N32" s="364">
        <f t="shared" si="2"/>
        <v>0</v>
      </c>
      <c r="O32" s="366">
        <f t="shared" si="2"/>
        <v>0</v>
      </c>
      <c r="P32" s="365">
        <f t="shared" si="2"/>
        <v>0</v>
      </c>
      <c r="Q32" s="364">
        <f t="shared" si="2"/>
        <v>0</v>
      </c>
      <c r="R32" s="365">
        <f t="shared" si="2"/>
        <v>0</v>
      </c>
      <c r="S32" s="364">
        <f t="shared" si="2"/>
        <v>0</v>
      </c>
      <c r="T32" s="365">
        <f t="shared" si="2"/>
        <v>0</v>
      </c>
      <c r="U32" s="231"/>
      <c r="V32" s="323"/>
      <c r="W32" s="315"/>
      <c r="X32" s="318"/>
      <c r="Y32" s="315"/>
      <c r="Z32" s="331"/>
      <c r="AA32" s="308"/>
      <c r="AB32" s="315"/>
      <c r="AC32" s="340"/>
      <c r="AD32" s="230"/>
      <c r="AE32" s="666"/>
      <c r="AF32" s="230"/>
      <c r="AG32" s="403">
        <f>AG130</f>
        <v>20</v>
      </c>
      <c r="AH32" s="404">
        <f t="shared" ref="AH32:AS32" si="3">AH130</f>
        <v>0</v>
      </c>
      <c r="AI32" s="403">
        <f t="shared" si="3"/>
        <v>60</v>
      </c>
      <c r="AJ32" s="404">
        <f t="shared" si="3"/>
        <v>0</v>
      </c>
      <c r="AK32" s="403">
        <f t="shared" si="3"/>
        <v>0</v>
      </c>
      <c r="AL32" s="404">
        <f t="shared" si="3"/>
        <v>0</v>
      </c>
      <c r="AM32" s="403">
        <f t="shared" si="3"/>
        <v>0</v>
      </c>
      <c r="AN32" s="405">
        <f t="shared" si="3"/>
        <v>0</v>
      </c>
      <c r="AO32" s="404">
        <f t="shared" si="3"/>
        <v>0</v>
      </c>
      <c r="AP32" s="403">
        <f t="shared" si="3"/>
        <v>0</v>
      </c>
      <c r="AQ32" s="404">
        <f t="shared" si="3"/>
        <v>0</v>
      </c>
      <c r="AR32" s="403">
        <f t="shared" si="3"/>
        <v>0</v>
      </c>
      <c r="AS32" s="404">
        <f t="shared" si="3"/>
        <v>0</v>
      </c>
      <c r="AT32" s="231"/>
      <c r="AU32" s="323"/>
      <c r="AV32" s="315"/>
      <c r="AW32" s="318"/>
      <c r="AX32" s="315"/>
      <c r="AY32" s="331"/>
      <c r="AZ32" s="308"/>
      <c r="BA32" s="300"/>
      <c r="BB32" s="206"/>
      <c r="BC32" s="206"/>
      <c r="BD32" s="206"/>
    </row>
    <row r="33" spans="1:56" customFormat="1" ht="5.0999999999999996" customHeight="1" thickBot="1" x14ac:dyDescent="0.25">
      <c r="A33" s="301"/>
      <c r="B33" s="308"/>
      <c r="C33" s="229"/>
      <c r="D33" s="676"/>
      <c r="E33" s="230"/>
      <c r="F33" s="234"/>
      <c r="G33" s="230"/>
      <c r="H33" s="230"/>
      <c r="I33" s="235" t="s">
        <v>18</v>
      </c>
      <c r="J33" s="235"/>
      <c r="K33" s="235" t="s">
        <v>18</v>
      </c>
      <c r="L33" s="235"/>
      <c r="M33" s="235" t="s">
        <v>18</v>
      </c>
      <c r="N33" s="235"/>
      <c r="O33" s="235"/>
      <c r="P33" s="235" t="s">
        <v>18</v>
      </c>
      <c r="Q33" s="235"/>
      <c r="R33" s="235" t="s">
        <v>18</v>
      </c>
      <c r="S33" s="235"/>
      <c r="T33" s="235" t="s">
        <v>18</v>
      </c>
      <c r="U33" s="231"/>
      <c r="V33" s="323"/>
      <c r="W33" s="315"/>
      <c r="X33" s="318"/>
      <c r="Y33" s="315"/>
      <c r="Z33" s="331"/>
      <c r="AA33" s="308"/>
      <c r="AB33" s="315"/>
      <c r="AC33" s="340"/>
      <c r="AD33" s="230"/>
      <c r="AE33" s="236"/>
      <c r="AF33" s="230"/>
      <c r="AG33" s="230"/>
      <c r="AH33" s="237" t="s">
        <v>18</v>
      </c>
      <c r="AI33" s="237"/>
      <c r="AJ33" s="237" t="s">
        <v>18</v>
      </c>
      <c r="AK33" s="237"/>
      <c r="AL33" s="237" t="s">
        <v>18</v>
      </c>
      <c r="AM33" s="237"/>
      <c r="AN33" s="237"/>
      <c r="AO33" s="237" t="s">
        <v>18</v>
      </c>
      <c r="AP33" s="237"/>
      <c r="AQ33" s="237" t="s">
        <v>18</v>
      </c>
      <c r="AR33" s="237"/>
      <c r="AS33" s="237" t="s">
        <v>18</v>
      </c>
      <c r="AT33" s="231"/>
      <c r="AU33" s="323"/>
      <c r="AV33" s="315"/>
      <c r="AW33" s="318"/>
      <c r="AX33" s="315"/>
      <c r="AY33" s="331"/>
      <c r="AZ33" s="308"/>
      <c r="BA33" s="300"/>
      <c r="BB33" s="206"/>
      <c r="BC33" s="206"/>
      <c r="BD33" s="206"/>
    </row>
    <row r="34" spans="1:56" s="10" customFormat="1" ht="13.5" thickBot="1" x14ac:dyDescent="0.25">
      <c r="A34" s="301"/>
      <c r="B34" s="308"/>
      <c r="C34" s="229"/>
      <c r="D34" s="676"/>
      <c r="E34" s="230"/>
      <c r="F34" s="647" t="s">
        <v>1</v>
      </c>
      <c r="G34" s="230"/>
      <c r="H34" s="612">
        <f>(H32+I32)*H28</f>
        <v>3000</v>
      </c>
      <c r="I34" s="613"/>
      <c r="J34" s="612">
        <f>(J32+K32)*J28</f>
        <v>0</v>
      </c>
      <c r="K34" s="613"/>
      <c r="L34" s="612">
        <f>(L32+M32)*L28</f>
        <v>0</v>
      </c>
      <c r="M34" s="613"/>
      <c r="N34" s="612">
        <f>(N32+O32+P32)*N28</f>
        <v>0</v>
      </c>
      <c r="O34" s="627"/>
      <c r="P34" s="613"/>
      <c r="Q34" s="612">
        <f>(Q32+R32)*Q28</f>
        <v>0</v>
      </c>
      <c r="R34" s="613"/>
      <c r="S34" s="650">
        <f>(S32+T32)*S28</f>
        <v>0</v>
      </c>
      <c r="T34" s="613"/>
      <c r="U34" s="231"/>
      <c r="V34" s="323"/>
      <c r="W34" s="238"/>
      <c r="X34" s="239" t="s">
        <v>46</v>
      </c>
      <c r="Y34" s="240"/>
      <c r="Z34" s="314"/>
      <c r="AA34" s="308"/>
      <c r="AB34" s="315"/>
      <c r="AC34" s="341"/>
      <c r="AD34" s="230"/>
      <c r="AE34" s="664" t="s">
        <v>1</v>
      </c>
      <c r="AF34" s="230"/>
      <c r="AG34" s="612">
        <f>(AG32+AH32)*AG28</f>
        <v>2000</v>
      </c>
      <c r="AH34" s="613"/>
      <c r="AI34" s="612">
        <f>(AI32+AJ32)*AI28</f>
        <v>3000</v>
      </c>
      <c r="AJ34" s="613"/>
      <c r="AK34" s="612">
        <f>(AK32+AL32)*AK28</f>
        <v>0</v>
      </c>
      <c r="AL34" s="613"/>
      <c r="AM34" s="612">
        <f>(AM32+AN32+AO32)*AM28</f>
        <v>0</v>
      </c>
      <c r="AN34" s="627"/>
      <c r="AO34" s="613"/>
      <c r="AP34" s="612">
        <f>(AP32+AQ32)*AP28</f>
        <v>0</v>
      </c>
      <c r="AQ34" s="613"/>
      <c r="AR34" s="612">
        <f>(AR32+AS32)*AR28</f>
        <v>0</v>
      </c>
      <c r="AS34" s="613"/>
      <c r="AT34" s="231"/>
      <c r="AU34" s="323"/>
      <c r="AV34" s="315"/>
      <c r="AW34" s="318"/>
      <c r="AX34" s="308"/>
      <c r="AY34" s="314"/>
      <c r="AZ34" s="308"/>
      <c r="BA34" s="300"/>
      <c r="BB34" s="201"/>
      <c r="BC34" s="201"/>
      <c r="BD34" s="201"/>
    </row>
    <row r="35" spans="1:56" s="10" customFormat="1" ht="13.5" thickBot="1" x14ac:dyDescent="0.25">
      <c r="A35" s="301"/>
      <c r="B35" s="308"/>
      <c r="C35" s="229"/>
      <c r="D35" s="676"/>
      <c r="E35" s="230"/>
      <c r="F35" s="648"/>
      <c r="G35" s="230"/>
      <c r="H35" s="230"/>
      <c r="I35" s="244"/>
      <c r="J35" s="277"/>
      <c r="K35" s="277"/>
      <c r="L35" s="277"/>
      <c r="M35" s="277"/>
      <c r="N35" s="277"/>
      <c r="O35" s="277"/>
      <c r="P35" s="277"/>
      <c r="Q35" s="277"/>
      <c r="R35" s="277"/>
      <c r="S35" s="277"/>
      <c r="T35" s="277"/>
      <c r="U35" s="231"/>
      <c r="V35" s="323"/>
      <c r="W35" s="229"/>
      <c r="X35" s="280"/>
      <c r="Y35" s="231"/>
      <c r="Z35" s="314"/>
      <c r="AA35" s="308"/>
      <c r="AB35" s="315"/>
      <c r="AC35" s="341"/>
      <c r="AD35" s="230"/>
      <c r="AE35" s="665"/>
      <c r="AF35" s="230"/>
      <c r="AG35" s="230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31"/>
      <c r="AU35" s="323"/>
      <c r="AV35" s="315"/>
      <c r="AW35" s="318"/>
      <c r="AX35" s="308"/>
      <c r="AY35" s="314"/>
      <c r="AZ35" s="308"/>
      <c r="BA35" s="300"/>
      <c r="BB35" s="201"/>
      <c r="BC35" s="201"/>
      <c r="BD35" s="201"/>
    </row>
    <row r="36" spans="1:56" s="10" customFormat="1" ht="13.5" customHeight="1" thickBot="1" x14ac:dyDescent="0.25">
      <c r="A36" s="301"/>
      <c r="B36" s="308"/>
      <c r="C36" s="229"/>
      <c r="D36" s="677"/>
      <c r="E36" s="230"/>
      <c r="F36" s="649"/>
      <c r="G36" s="230"/>
      <c r="H36" s="597">
        <f>SUM(H34:T34)</f>
        <v>3000</v>
      </c>
      <c r="I36" s="598"/>
      <c r="J36" s="598"/>
      <c r="K36" s="598"/>
      <c r="L36" s="598"/>
      <c r="M36" s="598"/>
      <c r="N36" s="598"/>
      <c r="O36" s="598"/>
      <c r="P36" s="598"/>
      <c r="Q36" s="598"/>
      <c r="R36" s="598"/>
      <c r="S36" s="598"/>
      <c r="T36" s="599"/>
      <c r="U36" s="231"/>
      <c r="V36" s="317"/>
      <c r="W36" s="229"/>
      <c r="X36" s="281"/>
      <c r="Y36" s="231"/>
      <c r="Z36" s="314"/>
      <c r="AA36" s="308"/>
      <c r="AB36" s="315"/>
      <c r="AC36" s="341"/>
      <c r="AD36" s="230"/>
      <c r="AE36" s="666"/>
      <c r="AF36" s="230"/>
      <c r="AG36" s="634">
        <f>SUM(AG34:AS34)</f>
        <v>5000</v>
      </c>
      <c r="AH36" s="635"/>
      <c r="AI36" s="635"/>
      <c r="AJ36" s="635"/>
      <c r="AK36" s="635"/>
      <c r="AL36" s="635"/>
      <c r="AM36" s="635"/>
      <c r="AN36" s="635"/>
      <c r="AO36" s="635"/>
      <c r="AP36" s="635"/>
      <c r="AQ36" s="635"/>
      <c r="AR36" s="635"/>
      <c r="AS36" s="636"/>
      <c r="AT36" s="231"/>
      <c r="AU36" s="317"/>
      <c r="AV36" s="315"/>
      <c r="AW36" s="315"/>
      <c r="AX36" s="308"/>
      <c r="AY36" s="314"/>
      <c r="AZ36" s="308"/>
      <c r="BA36" s="300"/>
      <c r="BB36" s="201"/>
      <c r="BC36" s="201"/>
      <c r="BD36" s="201"/>
    </row>
    <row r="37" spans="1:56" s="10" customFormat="1" ht="13.5" thickBot="1" x14ac:dyDescent="0.25">
      <c r="A37" s="301"/>
      <c r="B37" s="308"/>
      <c r="C37" s="229"/>
      <c r="D37" s="242"/>
      <c r="E37" s="230"/>
      <c r="F37" s="228"/>
      <c r="G37" s="230"/>
      <c r="H37" s="230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>
        <f>H36</f>
        <v>3000</v>
      </c>
      <c r="U37" s="231"/>
      <c r="V37" s="317"/>
      <c r="W37" s="229"/>
      <c r="X37" s="282"/>
      <c r="Y37" s="231"/>
      <c r="Z37" s="342"/>
      <c r="AA37" s="308"/>
      <c r="AB37" s="315"/>
      <c r="AC37" s="343"/>
      <c r="AD37" s="230"/>
      <c r="AE37" s="223"/>
      <c r="AF37" s="230"/>
      <c r="AG37" s="230"/>
      <c r="AH37" s="224"/>
      <c r="AI37" s="224"/>
      <c r="AJ37" s="227"/>
      <c r="AK37" s="227"/>
      <c r="AL37" s="224"/>
      <c r="AM37" s="224"/>
      <c r="AN37" s="224"/>
      <c r="AO37" s="224"/>
      <c r="AP37" s="224"/>
      <c r="AQ37" s="224"/>
      <c r="AR37" s="224"/>
      <c r="AS37" s="245">
        <f>AG36</f>
        <v>5000</v>
      </c>
      <c r="AT37" s="231"/>
      <c r="AU37" s="317"/>
      <c r="AV37" s="315"/>
      <c r="AW37" s="315"/>
      <c r="AX37" s="308"/>
      <c r="AY37" s="314"/>
      <c r="AZ37" s="308"/>
      <c r="BA37" s="300"/>
      <c r="BB37" s="201"/>
      <c r="BC37" s="201"/>
      <c r="BD37" s="201"/>
    </row>
    <row r="38" spans="1:56" s="10" customFormat="1" ht="13.5" thickBot="1" x14ac:dyDescent="0.25">
      <c r="A38" s="301"/>
      <c r="B38" s="308"/>
      <c r="C38" s="246"/>
      <c r="D38" s="247"/>
      <c r="E38" s="248"/>
      <c r="F38" s="247"/>
      <c r="G38" s="248"/>
      <c r="H38" s="248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50"/>
      <c r="V38" s="317"/>
      <c r="W38" s="246"/>
      <c r="X38" s="248"/>
      <c r="Y38" s="250"/>
      <c r="Z38" s="314"/>
      <c r="AA38" s="308"/>
      <c r="AB38" s="315"/>
      <c r="AC38" s="343"/>
      <c r="AD38" s="248"/>
      <c r="AE38" s="234"/>
      <c r="AF38" s="248"/>
      <c r="AG38" s="248"/>
      <c r="AH38" s="150"/>
      <c r="AI38" s="150"/>
      <c r="AJ38" s="251"/>
      <c r="AK38" s="251"/>
      <c r="AL38" s="150"/>
      <c r="AM38" s="150"/>
      <c r="AN38" s="150"/>
      <c r="AO38" s="150"/>
      <c r="AP38" s="150"/>
      <c r="AQ38" s="150"/>
      <c r="AR38" s="150"/>
      <c r="AS38" s="252"/>
      <c r="AT38" s="250"/>
      <c r="AU38" s="317"/>
      <c r="AV38" s="315"/>
      <c r="AW38" s="315"/>
      <c r="AX38" s="308"/>
      <c r="AY38" s="314"/>
      <c r="AZ38" s="308"/>
      <c r="BA38" s="300"/>
      <c r="BB38" s="201"/>
      <c r="BC38" s="201"/>
      <c r="BD38" s="201"/>
    </row>
    <row r="39" spans="1:56" ht="5.0999999999999996" customHeight="1" x14ac:dyDescent="0.2">
      <c r="A39" s="181"/>
      <c r="B39" s="304"/>
      <c r="C39" s="304"/>
      <c r="D39" s="309"/>
      <c r="E39" s="322"/>
      <c r="F39" s="322"/>
      <c r="G39" s="322"/>
      <c r="H39" s="322"/>
      <c r="I39" s="304"/>
      <c r="J39" s="304"/>
      <c r="K39" s="305"/>
      <c r="L39" s="305"/>
      <c r="M39" s="304"/>
      <c r="N39" s="304"/>
      <c r="O39" s="304"/>
      <c r="P39" s="304"/>
      <c r="Q39" s="304"/>
      <c r="R39" s="304"/>
      <c r="S39" s="304"/>
      <c r="T39" s="333"/>
      <c r="U39" s="304"/>
      <c r="V39" s="334"/>
      <c r="W39" s="304"/>
      <c r="X39" s="304"/>
      <c r="Y39" s="304"/>
      <c r="Z39" s="304"/>
      <c r="AA39" s="304"/>
      <c r="AB39" s="304"/>
      <c r="AC39" s="309"/>
      <c r="AD39" s="335"/>
      <c r="AE39" s="335"/>
      <c r="AF39" s="335"/>
      <c r="AG39" s="335"/>
      <c r="AH39" s="336"/>
      <c r="AI39" s="336"/>
      <c r="AJ39" s="337"/>
      <c r="AK39" s="337"/>
      <c r="AL39" s="337"/>
      <c r="AM39" s="337"/>
      <c r="AN39" s="337"/>
      <c r="AO39" s="337"/>
      <c r="AP39" s="337"/>
      <c r="AQ39" s="337"/>
      <c r="AR39" s="337"/>
      <c r="AS39" s="337"/>
      <c r="AT39" s="337"/>
      <c r="AU39" s="334"/>
      <c r="AV39" s="304"/>
      <c r="AW39" s="304"/>
      <c r="AX39" s="304"/>
      <c r="AY39" s="304"/>
      <c r="AZ39" s="306"/>
      <c r="BA39" s="299"/>
      <c r="BB39" s="184"/>
      <c r="BC39" s="184"/>
      <c r="BD39" s="184"/>
    </row>
    <row r="40" spans="1:56" ht="12.75" customHeight="1" x14ac:dyDescent="0.2">
      <c r="A40" s="181"/>
      <c r="B40" s="304"/>
      <c r="C40" s="304"/>
      <c r="D40" s="309"/>
      <c r="E40" s="322"/>
      <c r="F40" s="322"/>
      <c r="G40" s="322"/>
      <c r="H40" s="322"/>
      <c r="I40" s="304"/>
      <c r="J40" s="304"/>
      <c r="K40" s="305"/>
      <c r="L40" s="305"/>
      <c r="M40" s="304"/>
      <c r="N40" s="304"/>
      <c r="O40" s="304"/>
      <c r="P40" s="304"/>
      <c r="Q40" s="304"/>
      <c r="R40" s="304"/>
      <c r="S40" s="304"/>
      <c r="T40" s="333"/>
      <c r="U40" s="304"/>
      <c r="V40" s="334"/>
      <c r="W40" s="304"/>
      <c r="X40" s="338"/>
      <c r="Y40" s="304"/>
      <c r="Z40" s="304"/>
      <c r="AA40" s="304"/>
      <c r="AB40" s="304"/>
      <c r="AC40" s="309"/>
      <c r="AD40" s="322"/>
      <c r="AE40" s="322"/>
      <c r="AF40" s="322"/>
      <c r="AG40" s="322"/>
      <c r="AH40" s="305"/>
      <c r="AI40" s="305"/>
      <c r="AJ40" s="304"/>
      <c r="AK40" s="304"/>
      <c r="AL40" s="304"/>
      <c r="AM40" s="304"/>
      <c r="AN40" s="304"/>
      <c r="AO40" s="304"/>
      <c r="AP40" s="304"/>
      <c r="AQ40" s="304"/>
      <c r="AR40" s="304"/>
      <c r="AS40" s="304"/>
      <c r="AT40" s="304"/>
      <c r="AU40" s="334"/>
      <c r="AV40" s="304"/>
      <c r="AW40" s="304"/>
      <c r="AX40" s="304"/>
      <c r="AY40" s="304"/>
      <c r="AZ40" s="306"/>
      <c r="BA40" s="299"/>
      <c r="BB40" s="184"/>
      <c r="BC40" s="184"/>
      <c r="BD40" s="184"/>
    </row>
    <row r="41" spans="1:56" ht="12.75" customHeight="1" thickBot="1" x14ac:dyDescent="0.25">
      <c r="A41" s="181"/>
      <c r="B41" s="304"/>
      <c r="C41" s="304"/>
      <c r="D41" s="309"/>
      <c r="E41" s="322"/>
      <c r="F41" s="322"/>
      <c r="G41" s="322"/>
      <c r="H41" s="322"/>
      <c r="I41" s="304"/>
      <c r="J41" s="304"/>
      <c r="K41" s="305"/>
      <c r="L41" s="305"/>
      <c r="M41" s="304"/>
      <c r="N41" s="304"/>
      <c r="O41" s="304"/>
      <c r="P41" s="304"/>
      <c r="Q41" s="304"/>
      <c r="R41" s="304"/>
      <c r="S41" s="304"/>
      <c r="T41" s="333"/>
      <c r="U41" s="304"/>
      <c r="V41" s="334"/>
      <c r="W41" s="304"/>
      <c r="X41" s="304"/>
      <c r="Y41" s="304"/>
      <c r="Z41" s="304"/>
      <c r="AA41" s="304"/>
      <c r="AB41" s="304"/>
      <c r="AC41" s="309"/>
      <c r="AD41" s="322"/>
      <c r="AE41" s="322"/>
      <c r="AF41" s="322"/>
      <c r="AG41" s="322"/>
      <c r="AH41" s="304"/>
      <c r="AI41" s="304"/>
      <c r="AJ41" s="305"/>
      <c r="AK41" s="305"/>
      <c r="AL41" s="304"/>
      <c r="AM41" s="304"/>
      <c r="AN41" s="304"/>
      <c r="AO41" s="304"/>
      <c r="AP41" s="304"/>
      <c r="AQ41" s="304"/>
      <c r="AR41" s="304"/>
      <c r="AS41" s="333"/>
      <c r="AT41" s="304"/>
      <c r="AU41" s="334"/>
      <c r="AV41" s="304"/>
      <c r="AW41" s="304"/>
      <c r="AX41" s="304"/>
      <c r="AY41" s="304"/>
      <c r="AZ41" s="306"/>
      <c r="BA41" s="299"/>
      <c r="BB41" s="184"/>
      <c r="BC41" s="184"/>
      <c r="BD41" s="184"/>
    </row>
    <row r="42" spans="1:56" ht="12.75" customHeight="1" x14ac:dyDescent="0.2">
      <c r="A42" s="181"/>
      <c r="B42" s="304"/>
      <c r="C42" s="657" t="str">
        <f>C7</f>
        <v>BASE</v>
      </c>
      <c r="D42" s="672"/>
      <c r="E42" s="672"/>
      <c r="F42" s="672"/>
      <c r="G42" s="655"/>
      <c r="H42" s="655"/>
      <c r="I42" s="655"/>
      <c r="J42" s="655"/>
      <c r="K42" s="655"/>
      <c r="L42" s="655"/>
      <c r="M42" s="655"/>
      <c r="N42" s="218"/>
      <c r="O42" s="218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1"/>
      <c r="AH42" s="651"/>
      <c r="AI42" s="651"/>
      <c r="AJ42" s="651"/>
      <c r="AK42" s="651"/>
      <c r="AL42" s="651"/>
      <c r="AM42" s="651"/>
      <c r="AN42" s="651"/>
      <c r="AO42" s="651"/>
      <c r="AP42" s="651"/>
      <c r="AQ42" s="651"/>
      <c r="AR42" s="651"/>
      <c r="AS42" s="651"/>
      <c r="AT42" s="651"/>
      <c r="AU42" s="651"/>
      <c r="AV42" s="651"/>
      <c r="AW42" s="651"/>
      <c r="AX42" s="651"/>
      <c r="AY42" s="652"/>
      <c r="AZ42" s="306"/>
      <c r="BA42" s="299"/>
      <c r="BB42" s="184"/>
      <c r="BC42" s="184"/>
      <c r="BD42" s="184"/>
    </row>
    <row r="43" spans="1:56" ht="13.5" customHeight="1" thickBot="1" x14ac:dyDescent="0.25">
      <c r="A43" s="181"/>
      <c r="B43" s="304"/>
      <c r="C43" s="673"/>
      <c r="D43" s="674"/>
      <c r="E43" s="674"/>
      <c r="F43" s="674"/>
      <c r="G43" s="656"/>
      <c r="H43" s="656"/>
      <c r="I43" s="656"/>
      <c r="J43" s="656"/>
      <c r="K43" s="656"/>
      <c r="L43" s="656"/>
      <c r="M43" s="656"/>
      <c r="N43" s="253"/>
      <c r="O43" s="253"/>
      <c r="P43" s="653"/>
      <c r="Q43" s="653"/>
      <c r="R43" s="653"/>
      <c r="S43" s="653"/>
      <c r="T43" s="653"/>
      <c r="U43" s="653"/>
      <c r="V43" s="653"/>
      <c r="W43" s="653"/>
      <c r="X43" s="653"/>
      <c r="Y43" s="653"/>
      <c r="Z43" s="653"/>
      <c r="AA43" s="653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653"/>
      <c r="AP43" s="653"/>
      <c r="AQ43" s="653"/>
      <c r="AR43" s="653"/>
      <c r="AS43" s="653"/>
      <c r="AT43" s="653"/>
      <c r="AU43" s="653"/>
      <c r="AV43" s="653"/>
      <c r="AW43" s="653"/>
      <c r="AX43" s="653"/>
      <c r="AY43" s="654"/>
      <c r="AZ43" s="306"/>
      <c r="BA43" s="299"/>
      <c r="BB43" s="184"/>
      <c r="BC43" s="184"/>
      <c r="BD43" s="184"/>
    </row>
    <row r="44" spans="1:56" ht="12.75" customHeight="1" thickBot="1" x14ac:dyDescent="0.25">
      <c r="A44" s="181"/>
      <c r="B44" s="304"/>
      <c r="C44" s="304"/>
      <c r="D44" s="309"/>
      <c r="E44" s="322"/>
      <c r="F44" s="322"/>
      <c r="G44" s="322"/>
      <c r="H44" s="322"/>
      <c r="I44" s="304"/>
      <c r="J44" s="304"/>
      <c r="K44" s="305"/>
      <c r="L44" s="305"/>
      <c r="M44" s="304"/>
      <c r="N44" s="304"/>
      <c r="O44" s="304"/>
      <c r="P44" s="304"/>
      <c r="Q44" s="304"/>
      <c r="R44" s="304"/>
      <c r="S44" s="304"/>
      <c r="T44" s="333"/>
      <c r="U44" s="304"/>
      <c r="V44" s="334"/>
      <c r="W44" s="304"/>
      <c r="X44" s="304"/>
      <c r="Y44" s="304"/>
      <c r="Z44" s="304"/>
      <c r="AA44" s="304"/>
      <c r="AB44" s="304"/>
      <c r="AC44" s="309"/>
      <c r="AD44" s="322"/>
      <c r="AE44" s="322"/>
      <c r="AF44" s="322"/>
      <c r="AG44" s="322"/>
      <c r="AH44" s="304"/>
      <c r="AI44" s="304"/>
      <c r="AJ44" s="305"/>
      <c r="AK44" s="305"/>
      <c r="AL44" s="304"/>
      <c r="AM44" s="304"/>
      <c r="AN44" s="304"/>
      <c r="AO44" s="304"/>
      <c r="AP44" s="304"/>
      <c r="AQ44" s="304"/>
      <c r="AR44" s="304"/>
      <c r="AS44" s="333"/>
      <c r="AT44" s="304"/>
      <c r="AU44" s="334"/>
      <c r="AV44" s="304"/>
      <c r="AW44" s="304"/>
      <c r="AX44" s="304"/>
      <c r="AY44" s="304"/>
      <c r="AZ44" s="306"/>
      <c r="BA44" s="299"/>
      <c r="BB44" s="184"/>
      <c r="BC44" s="184"/>
      <c r="BD44" s="184"/>
    </row>
    <row r="45" spans="1:56" ht="24.75" customHeight="1" thickBot="1" x14ac:dyDescent="0.25">
      <c r="A45" s="181"/>
      <c r="B45" s="304"/>
      <c r="C45" s="304"/>
      <c r="D45" s="679"/>
      <c r="E45" s="679"/>
      <c r="F45" s="679"/>
      <c r="G45" s="320"/>
      <c r="H45" s="594" t="s">
        <v>77</v>
      </c>
      <c r="I45" s="595"/>
      <c r="J45" s="595"/>
      <c r="K45" s="595"/>
      <c r="L45" s="595"/>
      <c r="M45" s="595"/>
      <c r="N45" s="595"/>
      <c r="O45" s="595"/>
      <c r="P45" s="595"/>
      <c r="Q45" s="595"/>
      <c r="R45" s="595"/>
      <c r="S45" s="595"/>
      <c r="T45" s="595"/>
      <c r="U45" s="595"/>
      <c r="V45" s="595"/>
      <c r="W45" s="595"/>
      <c r="X45" s="596"/>
      <c r="Y45" s="304"/>
      <c r="Z45" s="254" t="s">
        <v>24</v>
      </c>
      <c r="AA45" s="353"/>
      <c r="AB45" s="304"/>
      <c r="AC45" s="679"/>
      <c r="AD45" s="679"/>
      <c r="AE45" s="679"/>
      <c r="AF45" s="320"/>
      <c r="AG45" s="594" t="s">
        <v>94</v>
      </c>
      <c r="AH45" s="595"/>
      <c r="AI45" s="595"/>
      <c r="AJ45" s="595"/>
      <c r="AK45" s="595"/>
      <c r="AL45" s="595"/>
      <c r="AM45" s="595"/>
      <c r="AN45" s="595"/>
      <c r="AO45" s="595"/>
      <c r="AP45" s="595"/>
      <c r="AQ45" s="595"/>
      <c r="AR45" s="595"/>
      <c r="AS45" s="595"/>
      <c r="AT45" s="595"/>
      <c r="AU45" s="595"/>
      <c r="AV45" s="595"/>
      <c r="AW45" s="596"/>
      <c r="AX45" s="304"/>
      <c r="AY45" s="254" t="s">
        <v>24</v>
      </c>
      <c r="AZ45" s="306"/>
      <c r="BA45" s="299"/>
      <c r="BB45" s="184"/>
      <c r="BC45" s="184"/>
      <c r="BD45" s="184"/>
    </row>
    <row r="46" spans="1:56" ht="12" customHeight="1" thickBot="1" x14ac:dyDescent="0.25">
      <c r="A46" s="181"/>
      <c r="B46" s="304"/>
      <c r="C46" s="304"/>
      <c r="D46" s="309"/>
      <c r="E46" s="322"/>
      <c r="F46" s="322"/>
      <c r="G46" s="322"/>
      <c r="H46" s="322"/>
      <c r="I46" s="304"/>
      <c r="J46" s="304"/>
      <c r="K46" s="305"/>
      <c r="L46" s="305"/>
      <c r="M46" s="304"/>
      <c r="N46" s="304"/>
      <c r="O46" s="304"/>
      <c r="P46" s="304"/>
      <c r="Q46" s="304"/>
      <c r="R46" s="304"/>
      <c r="S46" s="304"/>
      <c r="T46" s="304"/>
      <c r="U46" s="304"/>
      <c r="V46" s="304"/>
      <c r="W46" s="304"/>
      <c r="X46" s="304"/>
      <c r="Y46" s="304"/>
      <c r="Z46" s="345"/>
      <c r="AA46" s="304"/>
      <c r="AB46" s="304"/>
      <c r="AC46" s="309"/>
      <c r="AD46" s="322"/>
      <c r="AE46" s="322"/>
      <c r="AF46" s="322"/>
      <c r="AG46" s="322"/>
      <c r="AH46" s="304"/>
      <c r="AI46" s="304"/>
      <c r="AJ46" s="305"/>
      <c r="AK46" s="305"/>
      <c r="AL46" s="304"/>
      <c r="AM46" s="304"/>
      <c r="AN46" s="304"/>
      <c r="AO46" s="304"/>
      <c r="AP46" s="304"/>
      <c r="AQ46" s="304"/>
      <c r="AR46" s="304"/>
      <c r="AS46" s="304"/>
      <c r="AT46" s="304"/>
      <c r="AU46" s="304"/>
      <c r="AV46" s="304"/>
      <c r="AW46" s="304"/>
      <c r="AX46" s="304"/>
      <c r="AY46" s="345"/>
      <c r="AZ46" s="306"/>
      <c r="BA46" s="299"/>
      <c r="BB46" s="184"/>
      <c r="BC46" s="184"/>
      <c r="BD46" s="184"/>
    </row>
    <row r="47" spans="1:56" customFormat="1" ht="13.5" customHeight="1" thickBot="1" x14ac:dyDescent="0.25">
      <c r="A47" s="301"/>
      <c r="B47" s="308"/>
      <c r="C47" s="308"/>
      <c r="D47" s="308"/>
      <c r="E47" s="308"/>
      <c r="F47" s="308"/>
      <c r="G47" s="308"/>
      <c r="H47" s="618" t="s">
        <v>1</v>
      </c>
      <c r="I47" s="619"/>
      <c r="J47" s="619"/>
      <c r="K47" s="619"/>
      <c r="L47" s="619"/>
      <c r="M47" s="619"/>
      <c r="N47" s="619"/>
      <c r="O47" s="619"/>
      <c r="P47" s="619"/>
      <c r="Q47" s="619"/>
      <c r="R47" s="619"/>
      <c r="S47" s="619"/>
      <c r="T47" s="619"/>
      <c r="U47" s="619"/>
      <c r="V47" s="619"/>
      <c r="W47" s="619"/>
      <c r="X47" s="620"/>
      <c r="Y47" s="308"/>
      <c r="Z47" s="680" t="s">
        <v>19</v>
      </c>
      <c r="AA47" s="308"/>
      <c r="AB47" s="315"/>
      <c r="AC47" s="308"/>
      <c r="AD47" s="308"/>
      <c r="AE47" s="308"/>
      <c r="AF47" s="308"/>
      <c r="AG47" s="618" t="s">
        <v>1</v>
      </c>
      <c r="AH47" s="619"/>
      <c r="AI47" s="619"/>
      <c r="AJ47" s="619"/>
      <c r="AK47" s="619"/>
      <c r="AL47" s="619"/>
      <c r="AM47" s="619"/>
      <c r="AN47" s="619"/>
      <c r="AO47" s="619"/>
      <c r="AP47" s="619"/>
      <c r="AQ47" s="619"/>
      <c r="AR47" s="619"/>
      <c r="AS47" s="619"/>
      <c r="AT47" s="619"/>
      <c r="AU47" s="619"/>
      <c r="AV47" s="619"/>
      <c r="AW47" s="620"/>
      <c r="AX47" s="308"/>
      <c r="AY47" s="680" t="s">
        <v>19</v>
      </c>
      <c r="AZ47" s="308"/>
      <c r="BA47" s="300"/>
      <c r="BB47" s="206"/>
      <c r="BC47" s="206"/>
      <c r="BD47" s="206"/>
    </row>
    <row r="48" spans="1:56" customFormat="1" ht="5.0999999999999996" customHeight="1" thickBot="1" x14ac:dyDescent="0.25">
      <c r="A48" s="301"/>
      <c r="B48" s="308"/>
      <c r="C48" s="308"/>
      <c r="D48" s="308"/>
      <c r="E48" s="308"/>
      <c r="F48" s="308"/>
      <c r="G48" s="308"/>
      <c r="H48" s="308"/>
      <c r="I48" s="349"/>
      <c r="J48" s="349"/>
      <c r="K48" s="349"/>
      <c r="L48" s="349"/>
      <c r="M48" s="349"/>
      <c r="N48" s="349"/>
      <c r="O48" s="349"/>
      <c r="P48" s="349"/>
      <c r="Q48" s="349"/>
      <c r="R48" s="349"/>
      <c r="S48" s="349"/>
      <c r="T48" s="349"/>
      <c r="U48" s="349"/>
      <c r="V48" s="349"/>
      <c r="W48" s="349"/>
      <c r="X48" s="349"/>
      <c r="Y48" s="308"/>
      <c r="Z48" s="681"/>
      <c r="AA48" s="308"/>
      <c r="AB48" s="315"/>
      <c r="AC48" s="308"/>
      <c r="AD48" s="308"/>
      <c r="AE48" s="308"/>
      <c r="AF48" s="308"/>
      <c r="AG48" s="308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08"/>
      <c r="AY48" s="681"/>
      <c r="AZ48" s="308"/>
      <c r="BA48" s="300"/>
      <c r="BB48" s="206"/>
      <c r="BC48" s="206"/>
      <c r="BD48" s="206"/>
    </row>
    <row r="49" spans="1:56" customFormat="1" ht="13.5" thickBot="1" x14ac:dyDescent="0.25">
      <c r="A49" s="301"/>
      <c r="B49" s="308"/>
      <c r="C49" s="308"/>
      <c r="D49" s="255" t="s">
        <v>20</v>
      </c>
      <c r="E49" s="348"/>
      <c r="F49" s="255" t="s">
        <v>21</v>
      </c>
      <c r="G49" s="348"/>
      <c r="H49" s="616">
        <v>100</v>
      </c>
      <c r="I49" s="617"/>
      <c r="J49" s="616">
        <v>50</v>
      </c>
      <c r="K49" s="617"/>
      <c r="L49" s="616">
        <v>20</v>
      </c>
      <c r="M49" s="617"/>
      <c r="N49" s="616">
        <v>10</v>
      </c>
      <c r="O49" s="622"/>
      <c r="P49" s="617"/>
      <c r="Q49" s="616">
        <v>5</v>
      </c>
      <c r="R49" s="617"/>
      <c r="S49" s="616">
        <v>2</v>
      </c>
      <c r="T49" s="617"/>
      <c r="U49" s="308"/>
      <c r="V49" s="255" t="s">
        <v>22</v>
      </c>
      <c r="W49" s="308"/>
      <c r="X49" s="255" t="s">
        <v>7</v>
      </c>
      <c r="Y49" s="308"/>
      <c r="Z49" s="682"/>
      <c r="AA49" s="314"/>
      <c r="AB49" s="315"/>
      <c r="AC49" s="255" t="s">
        <v>20</v>
      </c>
      <c r="AD49" s="348"/>
      <c r="AE49" s="255" t="s">
        <v>21</v>
      </c>
      <c r="AF49" s="348"/>
      <c r="AG49" s="616">
        <f>H49</f>
        <v>100</v>
      </c>
      <c r="AH49" s="617"/>
      <c r="AI49" s="616">
        <f>J49</f>
        <v>50</v>
      </c>
      <c r="AJ49" s="617"/>
      <c r="AK49" s="616">
        <f>L49</f>
        <v>20</v>
      </c>
      <c r="AL49" s="617"/>
      <c r="AM49" s="616">
        <v>10</v>
      </c>
      <c r="AN49" s="622"/>
      <c r="AO49" s="617"/>
      <c r="AP49" s="616">
        <v>5</v>
      </c>
      <c r="AQ49" s="617"/>
      <c r="AR49" s="616">
        <v>2</v>
      </c>
      <c r="AS49" s="617"/>
      <c r="AT49" s="308"/>
      <c r="AU49" s="255" t="s">
        <v>22</v>
      </c>
      <c r="AV49" s="308"/>
      <c r="AW49" s="255" t="s">
        <v>7</v>
      </c>
      <c r="AX49" s="308"/>
      <c r="AY49" s="682"/>
      <c r="AZ49" s="308"/>
      <c r="BA49" s="300"/>
      <c r="BB49" s="206"/>
      <c r="BC49" s="206"/>
      <c r="BD49" s="206"/>
    </row>
    <row r="50" spans="1:56" customFormat="1" ht="13.5" thickBot="1" x14ac:dyDescent="0.25">
      <c r="A50" s="301"/>
      <c r="B50" s="308"/>
      <c r="C50" s="308"/>
      <c r="D50" s="325"/>
      <c r="E50" s="348"/>
      <c r="F50" s="325"/>
      <c r="G50" s="348"/>
      <c r="H50" s="283" t="s">
        <v>73</v>
      </c>
      <c r="I50" s="285" t="s">
        <v>74</v>
      </c>
      <c r="J50" s="286" t="s">
        <v>73</v>
      </c>
      <c r="K50" s="285" t="s">
        <v>74</v>
      </c>
      <c r="L50" s="286" t="s">
        <v>73</v>
      </c>
      <c r="M50" s="285" t="s">
        <v>74</v>
      </c>
      <c r="N50" s="286" t="s">
        <v>73</v>
      </c>
      <c r="O50" s="284" t="s">
        <v>74</v>
      </c>
      <c r="P50" s="285" t="s">
        <v>62</v>
      </c>
      <c r="Q50" s="286" t="s">
        <v>73</v>
      </c>
      <c r="R50" s="285" t="s">
        <v>74</v>
      </c>
      <c r="S50" s="286" t="s">
        <v>73</v>
      </c>
      <c r="T50" s="285" t="s">
        <v>74</v>
      </c>
      <c r="U50" s="308"/>
      <c r="V50" s="325"/>
      <c r="W50" s="308"/>
      <c r="X50" s="325"/>
      <c r="Y50" s="308"/>
      <c r="Z50" s="347"/>
      <c r="AA50" s="314"/>
      <c r="AB50" s="315"/>
      <c r="AC50" s="325"/>
      <c r="AD50" s="348"/>
      <c r="AE50" s="325"/>
      <c r="AF50" s="348"/>
      <c r="AG50" s="255" t="str">
        <f>H50</f>
        <v>ANTIGO</v>
      </c>
      <c r="AH50" s="290" t="str">
        <f t="shared" ref="AH50:AS50" si="4">I50</f>
        <v>NOVO</v>
      </c>
      <c r="AI50" s="290" t="str">
        <f t="shared" si="4"/>
        <v>ANTIGO</v>
      </c>
      <c r="AJ50" s="290" t="str">
        <f t="shared" si="4"/>
        <v>NOVO</v>
      </c>
      <c r="AK50" s="290" t="str">
        <f t="shared" si="4"/>
        <v>ANTIGO</v>
      </c>
      <c r="AL50" s="290" t="str">
        <f t="shared" si="4"/>
        <v>NOVO</v>
      </c>
      <c r="AM50" s="290" t="str">
        <f t="shared" si="4"/>
        <v>ANTIGO</v>
      </c>
      <c r="AN50" s="290" t="str">
        <f t="shared" si="4"/>
        <v>NOVO</v>
      </c>
      <c r="AO50" s="290" t="str">
        <f t="shared" si="4"/>
        <v>POLÍMERO</v>
      </c>
      <c r="AP50" s="290" t="str">
        <f t="shared" si="4"/>
        <v>ANTIGO</v>
      </c>
      <c r="AQ50" s="290" t="str">
        <f t="shared" si="4"/>
        <v>NOVO</v>
      </c>
      <c r="AR50" s="290" t="str">
        <f t="shared" si="4"/>
        <v>ANTIGO</v>
      </c>
      <c r="AS50" s="290" t="str">
        <f t="shared" si="4"/>
        <v>NOVO</v>
      </c>
      <c r="AT50" s="308"/>
      <c r="AU50" s="325"/>
      <c r="AV50" s="308"/>
      <c r="AW50" s="325"/>
      <c r="AX50" s="308"/>
      <c r="AY50" s="347"/>
      <c r="AZ50" s="308"/>
      <c r="BA50" s="300"/>
      <c r="BB50" s="206"/>
      <c r="BC50" s="206"/>
      <c r="BD50" s="206"/>
    </row>
    <row r="51" spans="1:56" customFormat="1" ht="5.0999999999999996" customHeight="1" thickBot="1" x14ac:dyDescent="0.25">
      <c r="A51" s="301"/>
      <c r="B51" s="308"/>
      <c r="C51" s="308"/>
      <c r="D51" s="348"/>
      <c r="E51" s="348"/>
      <c r="F51" s="348"/>
      <c r="G51" s="348"/>
      <c r="H51" s="348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08"/>
      <c r="V51" s="348"/>
      <c r="W51" s="308"/>
      <c r="X51" s="348"/>
      <c r="Y51" s="308"/>
      <c r="Z51" s="346"/>
      <c r="AA51" s="308"/>
      <c r="AB51" s="315"/>
      <c r="AC51" s="348"/>
      <c r="AD51" s="348"/>
      <c r="AE51" s="348"/>
      <c r="AF51" s="348"/>
      <c r="AG51" s="348"/>
      <c r="AH51" s="352"/>
      <c r="AI51" s="352"/>
      <c r="AJ51" s="352"/>
      <c r="AK51" s="352"/>
      <c r="AL51" s="352"/>
      <c r="AM51" s="352"/>
      <c r="AN51" s="352"/>
      <c r="AO51" s="352"/>
      <c r="AP51" s="352"/>
      <c r="AQ51" s="352"/>
      <c r="AR51" s="352"/>
      <c r="AS51" s="352"/>
      <c r="AT51" s="308"/>
      <c r="AU51" s="348"/>
      <c r="AV51" s="308"/>
      <c r="AW51" s="348"/>
      <c r="AX51" s="308"/>
      <c r="AY51" s="346"/>
      <c r="AZ51" s="308"/>
      <c r="BA51" s="300"/>
      <c r="BB51" s="206"/>
      <c r="BC51" s="206"/>
      <c r="BD51" s="206"/>
    </row>
    <row r="52" spans="1:56" customFormat="1" x14ac:dyDescent="0.2">
      <c r="A52" s="301"/>
      <c r="B52" s="308"/>
      <c r="C52" s="308"/>
      <c r="D52" s="474">
        <v>1</v>
      </c>
      <c r="E52" s="308"/>
      <c r="F52" s="257" t="s">
        <v>114</v>
      </c>
      <c r="G52" s="308"/>
      <c r="H52" s="389">
        <v>10</v>
      </c>
      <c r="I52" s="390"/>
      <c r="J52" s="389"/>
      <c r="K52" s="390"/>
      <c r="L52" s="389"/>
      <c r="M52" s="390"/>
      <c r="N52" s="389"/>
      <c r="O52" s="399"/>
      <c r="P52" s="390"/>
      <c r="Q52" s="389"/>
      <c r="R52" s="390"/>
      <c r="S52" s="389"/>
      <c r="T52" s="390"/>
      <c r="U52" s="308"/>
      <c r="V52" s="258">
        <f>(I52+H52)*$H$49+(K52+J52)*$J$49+(M52+L52)*$L$49+(P52+N52+O52)*$N$49+(R52+Q52)*$Q$49+(T52+S52)*$S$49</f>
        <v>1000</v>
      </c>
      <c r="W52" s="327"/>
      <c r="X52" s="259">
        <f>V52</f>
        <v>1000</v>
      </c>
      <c r="Y52" s="308"/>
      <c r="Z52" s="260">
        <f>SUM(H52:T52)</f>
        <v>10</v>
      </c>
      <c r="AA52" s="308"/>
      <c r="AB52" s="315"/>
      <c r="AC52" s="256">
        <v>1</v>
      </c>
      <c r="AD52" s="308"/>
      <c r="AE52" s="257" t="s">
        <v>114</v>
      </c>
      <c r="AF52" s="308"/>
      <c r="AG52" s="389">
        <v>10</v>
      </c>
      <c r="AH52" s="390"/>
      <c r="AI52" s="389">
        <v>50</v>
      </c>
      <c r="AJ52" s="390"/>
      <c r="AK52" s="389"/>
      <c r="AL52" s="390"/>
      <c r="AM52" s="389"/>
      <c r="AN52" s="399"/>
      <c r="AO52" s="390"/>
      <c r="AP52" s="389"/>
      <c r="AQ52" s="390"/>
      <c r="AR52" s="389"/>
      <c r="AS52" s="390"/>
      <c r="AT52" s="308"/>
      <c r="AU52" s="258">
        <f t="shared" ref="AU52:AU115" si="5">(AH52+AG52)*$H$49+(AJ52+AI52)*$J$49+(AL52+AK52)*$L$49+(AO52+AM52+AN52)*$N$49+(AQ52+AP52)*$Q$49+(AS52+AR52)*$S$49</f>
        <v>3500</v>
      </c>
      <c r="AV52" s="327"/>
      <c r="AW52" s="259">
        <f>AU52</f>
        <v>3500</v>
      </c>
      <c r="AX52" s="308"/>
      <c r="AY52" s="260">
        <f>SUM(AG52:AS52)</f>
        <v>60</v>
      </c>
      <c r="AZ52" s="308"/>
      <c r="BA52" s="300"/>
      <c r="BB52" s="206"/>
      <c r="BC52" s="206"/>
      <c r="BD52" s="206"/>
    </row>
    <row r="53" spans="1:56" customFormat="1" x14ac:dyDescent="0.2">
      <c r="A53" s="301"/>
      <c r="B53" s="308"/>
      <c r="C53" s="308"/>
      <c r="D53" s="268">
        <v>2</v>
      </c>
      <c r="E53" s="308"/>
      <c r="F53" s="262" t="s">
        <v>114</v>
      </c>
      <c r="G53" s="308"/>
      <c r="H53" s="391">
        <v>20</v>
      </c>
      <c r="I53" s="392"/>
      <c r="J53" s="391"/>
      <c r="K53" s="392"/>
      <c r="L53" s="391"/>
      <c r="M53" s="392"/>
      <c r="N53" s="391"/>
      <c r="O53" s="400"/>
      <c r="P53" s="392"/>
      <c r="Q53" s="391"/>
      <c r="R53" s="392"/>
      <c r="S53" s="391"/>
      <c r="T53" s="392"/>
      <c r="U53" s="308"/>
      <c r="V53" s="263">
        <f>(I53+H53)*$H$49+(K53+J53)*$J$49+(M53+L53)*$L$49+(P53+N53+O53)*$N$49+(R53+Q53)*$Q$49+(T53+S53)*$S$49</f>
        <v>2000</v>
      </c>
      <c r="W53" s="327"/>
      <c r="X53" s="264">
        <f>X52+V53</f>
        <v>3000</v>
      </c>
      <c r="Y53" s="308"/>
      <c r="Z53" s="265">
        <f t="shared" ref="Z53:Z116" si="6">SUM(H53:T53)</f>
        <v>20</v>
      </c>
      <c r="AA53" s="308"/>
      <c r="AB53" s="315"/>
      <c r="AC53" s="261">
        <v>2</v>
      </c>
      <c r="AD53" s="308"/>
      <c r="AE53" s="262" t="s">
        <v>114</v>
      </c>
      <c r="AF53" s="308"/>
      <c r="AG53" s="391">
        <v>10</v>
      </c>
      <c r="AH53" s="392"/>
      <c r="AI53" s="391">
        <v>10</v>
      </c>
      <c r="AJ53" s="392"/>
      <c r="AK53" s="391"/>
      <c r="AL53" s="392"/>
      <c r="AM53" s="391"/>
      <c r="AN53" s="400"/>
      <c r="AO53" s="392"/>
      <c r="AP53" s="391"/>
      <c r="AQ53" s="392"/>
      <c r="AR53" s="391"/>
      <c r="AS53" s="392"/>
      <c r="AT53" s="308"/>
      <c r="AU53" s="263">
        <f t="shared" si="5"/>
        <v>1500</v>
      </c>
      <c r="AV53" s="327"/>
      <c r="AW53" s="264">
        <f>AW52+AU53</f>
        <v>5000</v>
      </c>
      <c r="AX53" s="308"/>
      <c r="AY53" s="265">
        <f t="shared" ref="AY53:AY116" si="7">SUM(AG53:AS53)</f>
        <v>20</v>
      </c>
      <c r="AZ53" s="308"/>
      <c r="BA53" s="300"/>
      <c r="BB53" s="206"/>
      <c r="BC53" s="206"/>
      <c r="BD53" s="206"/>
    </row>
    <row r="54" spans="1:56" customFormat="1" x14ac:dyDescent="0.2">
      <c r="A54" s="301"/>
      <c r="B54" s="308"/>
      <c r="C54" s="308"/>
      <c r="D54" s="268">
        <v>3</v>
      </c>
      <c r="E54" s="308"/>
      <c r="F54" s="266"/>
      <c r="G54" s="308"/>
      <c r="H54" s="393"/>
      <c r="I54" s="394"/>
      <c r="J54" s="393"/>
      <c r="K54" s="394"/>
      <c r="L54" s="393"/>
      <c r="M54" s="394"/>
      <c r="N54" s="393"/>
      <c r="O54" s="401"/>
      <c r="P54" s="394"/>
      <c r="Q54" s="393"/>
      <c r="R54" s="394"/>
      <c r="S54" s="393"/>
      <c r="T54" s="394"/>
      <c r="U54" s="308"/>
      <c r="V54" s="267">
        <f t="shared" ref="V54:V117" si="8">(I54+H54)*$H$49+(K54+J54)*$J$49+(M54+L54)*$L$49+(P54+N54+O54)*$N$49+(R54+Q54)*$Q$49+(T54+S54)*$S$49</f>
        <v>0</v>
      </c>
      <c r="W54" s="327"/>
      <c r="X54" s="264">
        <f t="shared" ref="X54:X119" si="9">X53+V54</f>
        <v>3000</v>
      </c>
      <c r="Y54" s="308"/>
      <c r="Z54" s="265">
        <f t="shared" si="6"/>
        <v>0</v>
      </c>
      <c r="AA54" s="308"/>
      <c r="AB54" s="315"/>
      <c r="AC54" s="261">
        <v>3</v>
      </c>
      <c r="AD54" s="308"/>
      <c r="AE54" s="266"/>
      <c r="AF54" s="308"/>
      <c r="AG54" s="393"/>
      <c r="AH54" s="394"/>
      <c r="AI54" s="393"/>
      <c r="AJ54" s="394"/>
      <c r="AK54" s="393"/>
      <c r="AL54" s="394"/>
      <c r="AM54" s="393"/>
      <c r="AN54" s="401"/>
      <c r="AO54" s="394"/>
      <c r="AP54" s="393"/>
      <c r="AQ54" s="394"/>
      <c r="AR54" s="393"/>
      <c r="AS54" s="394"/>
      <c r="AT54" s="308"/>
      <c r="AU54" s="267">
        <f t="shared" si="5"/>
        <v>0</v>
      </c>
      <c r="AV54" s="327"/>
      <c r="AW54" s="264">
        <f t="shared" ref="AW54:AW117" si="10">AW53+AU54</f>
        <v>5000</v>
      </c>
      <c r="AX54" s="308"/>
      <c r="AY54" s="265">
        <f t="shared" si="7"/>
        <v>0</v>
      </c>
      <c r="AZ54" s="308"/>
      <c r="BA54" s="300"/>
      <c r="BB54" s="206"/>
      <c r="BC54" s="206"/>
      <c r="BD54" s="206"/>
    </row>
    <row r="55" spans="1:56" customFormat="1" x14ac:dyDescent="0.2">
      <c r="A55" s="301"/>
      <c r="B55" s="308"/>
      <c r="C55" s="308"/>
      <c r="D55" s="268">
        <v>4</v>
      </c>
      <c r="E55" s="308"/>
      <c r="F55" s="262"/>
      <c r="G55" s="308"/>
      <c r="H55" s="391"/>
      <c r="I55" s="392"/>
      <c r="J55" s="391"/>
      <c r="K55" s="392"/>
      <c r="L55" s="391"/>
      <c r="M55" s="392"/>
      <c r="N55" s="391"/>
      <c r="O55" s="400"/>
      <c r="P55" s="392"/>
      <c r="Q55" s="391"/>
      <c r="R55" s="392"/>
      <c r="S55" s="391"/>
      <c r="T55" s="392"/>
      <c r="U55" s="308"/>
      <c r="V55" s="263">
        <f t="shared" si="8"/>
        <v>0</v>
      </c>
      <c r="W55" s="327"/>
      <c r="X55" s="264">
        <f t="shared" si="9"/>
        <v>3000</v>
      </c>
      <c r="Y55" s="308"/>
      <c r="Z55" s="265">
        <f t="shared" si="6"/>
        <v>0</v>
      </c>
      <c r="AA55" s="308"/>
      <c r="AB55" s="315"/>
      <c r="AC55" s="261">
        <v>4</v>
      </c>
      <c r="AD55" s="308"/>
      <c r="AE55" s="262"/>
      <c r="AF55" s="308"/>
      <c r="AG55" s="391"/>
      <c r="AH55" s="392"/>
      <c r="AI55" s="391"/>
      <c r="AJ55" s="392"/>
      <c r="AK55" s="391"/>
      <c r="AL55" s="392"/>
      <c r="AM55" s="391"/>
      <c r="AN55" s="400"/>
      <c r="AO55" s="392"/>
      <c r="AP55" s="391"/>
      <c r="AQ55" s="392"/>
      <c r="AR55" s="391"/>
      <c r="AS55" s="392"/>
      <c r="AT55" s="308"/>
      <c r="AU55" s="263">
        <f t="shared" si="5"/>
        <v>0</v>
      </c>
      <c r="AV55" s="327"/>
      <c r="AW55" s="264">
        <f t="shared" si="10"/>
        <v>5000</v>
      </c>
      <c r="AX55" s="308"/>
      <c r="AY55" s="265">
        <f t="shared" si="7"/>
        <v>0</v>
      </c>
      <c r="AZ55" s="308"/>
      <c r="BA55" s="300"/>
      <c r="BB55" s="206"/>
      <c r="BC55" s="206"/>
      <c r="BD55" s="206"/>
    </row>
    <row r="56" spans="1:56" customFormat="1" x14ac:dyDescent="0.2">
      <c r="A56" s="301"/>
      <c r="B56" s="308"/>
      <c r="C56" s="308"/>
      <c r="D56" s="268">
        <v>5</v>
      </c>
      <c r="E56" s="308"/>
      <c r="F56" s="266"/>
      <c r="G56" s="308"/>
      <c r="H56" s="393"/>
      <c r="I56" s="394"/>
      <c r="J56" s="393"/>
      <c r="K56" s="394"/>
      <c r="L56" s="393"/>
      <c r="M56" s="394"/>
      <c r="N56" s="393"/>
      <c r="O56" s="401"/>
      <c r="P56" s="394"/>
      <c r="Q56" s="393"/>
      <c r="R56" s="394"/>
      <c r="S56" s="393"/>
      <c r="T56" s="394"/>
      <c r="U56" s="308"/>
      <c r="V56" s="267">
        <f>(I56+H56)*$H$49+(K56+J56)*$J$49+(M56+L56)*$L$49+(P56+N56+O56)*$N$49+(R56+Q56)*$Q$49+(T56+S56)*$S$49</f>
        <v>0</v>
      </c>
      <c r="W56" s="327"/>
      <c r="X56" s="264">
        <f t="shared" si="9"/>
        <v>3000</v>
      </c>
      <c r="Y56" s="308"/>
      <c r="Z56" s="265">
        <f t="shared" si="6"/>
        <v>0</v>
      </c>
      <c r="AA56" s="308"/>
      <c r="AB56" s="315"/>
      <c r="AC56" s="261">
        <v>5</v>
      </c>
      <c r="AD56" s="308"/>
      <c r="AE56" s="266"/>
      <c r="AF56" s="308"/>
      <c r="AG56" s="393"/>
      <c r="AH56" s="394"/>
      <c r="AI56" s="393"/>
      <c r="AJ56" s="394"/>
      <c r="AK56" s="393"/>
      <c r="AL56" s="394"/>
      <c r="AM56" s="393"/>
      <c r="AN56" s="401"/>
      <c r="AO56" s="394"/>
      <c r="AP56" s="393"/>
      <c r="AQ56" s="394"/>
      <c r="AR56" s="393"/>
      <c r="AS56" s="394"/>
      <c r="AT56" s="308"/>
      <c r="AU56" s="267">
        <f t="shared" si="5"/>
        <v>0</v>
      </c>
      <c r="AV56" s="327"/>
      <c r="AW56" s="264">
        <f t="shared" si="10"/>
        <v>5000</v>
      </c>
      <c r="AX56" s="308"/>
      <c r="AY56" s="265">
        <f t="shared" si="7"/>
        <v>0</v>
      </c>
      <c r="AZ56" s="308"/>
      <c r="BA56" s="300"/>
      <c r="BB56" s="206"/>
      <c r="BC56" s="206"/>
      <c r="BD56" s="206"/>
    </row>
    <row r="57" spans="1:56" customFormat="1" x14ac:dyDescent="0.2">
      <c r="A57" s="301"/>
      <c r="B57" s="308"/>
      <c r="C57" s="308"/>
      <c r="D57" s="268">
        <v>6</v>
      </c>
      <c r="E57" s="308"/>
      <c r="F57" s="262"/>
      <c r="G57" s="308"/>
      <c r="H57" s="391"/>
      <c r="I57" s="392"/>
      <c r="J57" s="391"/>
      <c r="K57" s="392"/>
      <c r="L57" s="391"/>
      <c r="M57" s="392"/>
      <c r="N57" s="391"/>
      <c r="O57" s="400"/>
      <c r="P57" s="392"/>
      <c r="Q57" s="391"/>
      <c r="R57" s="392"/>
      <c r="S57" s="391"/>
      <c r="T57" s="392"/>
      <c r="U57" s="308"/>
      <c r="V57" s="267">
        <f>(I57+H57)*$H$49+(K57+J57)*$J$49+(M57+L57)*$L$49+(P57+N57+O57)*$N$49+(R57+Q57)*$Q$49+(T57+S57)*$S$49</f>
        <v>0</v>
      </c>
      <c r="W57" s="327"/>
      <c r="X57" s="264">
        <f t="shared" si="9"/>
        <v>3000</v>
      </c>
      <c r="Y57" s="308"/>
      <c r="Z57" s="265">
        <f t="shared" si="6"/>
        <v>0</v>
      </c>
      <c r="AA57" s="308"/>
      <c r="AB57" s="315"/>
      <c r="AC57" s="261">
        <v>6</v>
      </c>
      <c r="AD57" s="308"/>
      <c r="AE57" s="262"/>
      <c r="AF57" s="308"/>
      <c r="AG57" s="391"/>
      <c r="AH57" s="392"/>
      <c r="AI57" s="391"/>
      <c r="AJ57" s="392"/>
      <c r="AK57" s="391"/>
      <c r="AL57" s="392"/>
      <c r="AM57" s="391"/>
      <c r="AN57" s="400"/>
      <c r="AO57" s="392"/>
      <c r="AP57" s="391"/>
      <c r="AQ57" s="392"/>
      <c r="AR57" s="391"/>
      <c r="AS57" s="392"/>
      <c r="AT57" s="308"/>
      <c r="AU57" s="263">
        <f t="shared" si="5"/>
        <v>0</v>
      </c>
      <c r="AV57" s="327"/>
      <c r="AW57" s="264">
        <f t="shared" si="10"/>
        <v>5000</v>
      </c>
      <c r="AX57" s="308"/>
      <c r="AY57" s="265">
        <f t="shared" si="7"/>
        <v>0</v>
      </c>
      <c r="AZ57" s="308"/>
      <c r="BA57" s="300"/>
      <c r="BB57" s="206"/>
      <c r="BC57" s="206"/>
      <c r="BD57" s="206"/>
    </row>
    <row r="58" spans="1:56" customFormat="1" x14ac:dyDescent="0.2">
      <c r="A58" s="301"/>
      <c r="B58" s="308"/>
      <c r="C58" s="308"/>
      <c r="D58" s="268">
        <v>7</v>
      </c>
      <c r="E58" s="308"/>
      <c r="F58" s="266"/>
      <c r="G58" s="308"/>
      <c r="H58" s="393"/>
      <c r="I58" s="394"/>
      <c r="J58" s="393"/>
      <c r="K58" s="394"/>
      <c r="L58" s="393"/>
      <c r="M58" s="394"/>
      <c r="N58" s="393"/>
      <c r="O58" s="401"/>
      <c r="P58" s="394"/>
      <c r="Q58" s="393"/>
      <c r="R58" s="394"/>
      <c r="S58" s="393"/>
      <c r="T58" s="394"/>
      <c r="U58" s="308"/>
      <c r="V58" s="267">
        <f t="shared" si="8"/>
        <v>0</v>
      </c>
      <c r="W58" s="327"/>
      <c r="X58" s="264">
        <f t="shared" si="9"/>
        <v>3000</v>
      </c>
      <c r="Y58" s="308"/>
      <c r="Z58" s="265">
        <f t="shared" si="6"/>
        <v>0</v>
      </c>
      <c r="AA58" s="308"/>
      <c r="AB58" s="315"/>
      <c r="AC58" s="261">
        <v>7</v>
      </c>
      <c r="AD58" s="308"/>
      <c r="AE58" s="266"/>
      <c r="AF58" s="308"/>
      <c r="AG58" s="393"/>
      <c r="AH58" s="394"/>
      <c r="AI58" s="393"/>
      <c r="AJ58" s="394"/>
      <c r="AK58" s="393"/>
      <c r="AL58" s="394"/>
      <c r="AM58" s="393"/>
      <c r="AN58" s="401"/>
      <c r="AO58" s="394"/>
      <c r="AP58" s="393"/>
      <c r="AQ58" s="394"/>
      <c r="AR58" s="393"/>
      <c r="AS58" s="394"/>
      <c r="AT58" s="308"/>
      <c r="AU58" s="267">
        <f t="shared" si="5"/>
        <v>0</v>
      </c>
      <c r="AV58" s="327"/>
      <c r="AW58" s="264">
        <f t="shared" si="10"/>
        <v>5000</v>
      </c>
      <c r="AX58" s="308"/>
      <c r="AY58" s="265">
        <f t="shared" si="7"/>
        <v>0</v>
      </c>
      <c r="AZ58" s="308"/>
      <c r="BA58" s="300"/>
      <c r="BB58" s="206"/>
      <c r="BC58" s="206"/>
      <c r="BD58" s="206"/>
    </row>
    <row r="59" spans="1:56" customFormat="1" x14ac:dyDescent="0.2">
      <c r="A59" s="301"/>
      <c r="B59" s="308"/>
      <c r="C59" s="308"/>
      <c r="D59" s="268">
        <v>8</v>
      </c>
      <c r="E59" s="308"/>
      <c r="F59" s="262"/>
      <c r="G59" s="308"/>
      <c r="H59" s="391"/>
      <c r="I59" s="392"/>
      <c r="J59" s="391"/>
      <c r="K59" s="392"/>
      <c r="L59" s="391"/>
      <c r="M59" s="392"/>
      <c r="N59" s="391"/>
      <c r="O59" s="400"/>
      <c r="P59" s="392"/>
      <c r="Q59" s="391"/>
      <c r="R59" s="392"/>
      <c r="S59" s="391"/>
      <c r="T59" s="392"/>
      <c r="U59" s="308"/>
      <c r="V59" s="269">
        <f t="shared" si="8"/>
        <v>0</v>
      </c>
      <c r="W59" s="327"/>
      <c r="X59" s="264">
        <f t="shared" si="9"/>
        <v>3000</v>
      </c>
      <c r="Y59" s="308"/>
      <c r="Z59" s="265">
        <f t="shared" si="6"/>
        <v>0</v>
      </c>
      <c r="AA59" s="308"/>
      <c r="AB59" s="315"/>
      <c r="AC59" s="261">
        <v>8</v>
      </c>
      <c r="AD59" s="308"/>
      <c r="AE59" s="262"/>
      <c r="AF59" s="308"/>
      <c r="AG59" s="391"/>
      <c r="AH59" s="392"/>
      <c r="AI59" s="391"/>
      <c r="AJ59" s="392"/>
      <c r="AK59" s="391"/>
      <c r="AL59" s="392"/>
      <c r="AM59" s="391"/>
      <c r="AN59" s="400"/>
      <c r="AO59" s="392"/>
      <c r="AP59" s="391"/>
      <c r="AQ59" s="392"/>
      <c r="AR59" s="391"/>
      <c r="AS59" s="392"/>
      <c r="AT59" s="308"/>
      <c r="AU59" s="263">
        <f t="shared" si="5"/>
        <v>0</v>
      </c>
      <c r="AV59" s="327"/>
      <c r="AW59" s="264">
        <f t="shared" si="10"/>
        <v>5000</v>
      </c>
      <c r="AX59" s="308"/>
      <c r="AY59" s="265">
        <f t="shared" si="7"/>
        <v>0</v>
      </c>
      <c r="AZ59" s="308"/>
      <c r="BA59" s="300"/>
      <c r="BB59" s="206"/>
      <c r="BC59" s="206"/>
      <c r="BD59" s="206"/>
    </row>
    <row r="60" spans="1:56" customFormat="1" x14ac:dyDescent="0.2">
      <c r="A60" s="301"/>
      <c r="B60" s="308"/>
      <c r="C60" s="308"/>
      <c r="D60" s="268">
        <v>9</v>
      </c>
      <c r="E60" s="308"/>
      <c r="F60" s="266"/>
      <c r="G60" s="308"/>
      <c r="H60" s="393"/>
      <c r="I60" s="394"/>
      <c r="J60" s="393"/>
      <c r="K60" s="394"/>
      <c r="L60" s="393"/>
      <c r="M60" s="394"/>
      <c r="N60" s="393"/>
      <c r="O60" s="401"/>
      <c r="P60" s="394"/>
      <c r="Q60" s="393"/>
      <c r="R60" s="394"/>
      <c r="S60" s="393"/>
      <c r="T60" s="394"/>
      <c r="U60" s="308"/>
      <c r="V60" s="267">
        <f t="shared" si="8"/>
        <v>0</v>
      </c>
      <c r="W60" s="327"/>
      <c r="X60" s="264">
        <f t="shared" si="9"/>
        <v>3000</v>
      </c>
      <c r="Y60" s="308"/>
      <c r="Z60" s="265">
        <f t="shared" si="6"/>
        <v>0</v>
      </c>
      <c r="AA60" s="308"/>
      <c r="AB60" s="315"/>
      <c r="AC60" s="261">
        <v>9</v>
      </c>
      <c r="AD60" s="308"/>
      <c r="AE60" s="266"/>
      <c r="AF60" s="308"/>
      <c r="AG60" s="393"/>
      <c r="AH60" s="394"/>
      <c r="AI60" s="393"/>
      <c r="AJ60" s="394"/>
      <c r="AK60" s="393"/>
      <c r="AL60" s="394"/>
      <c r="AM60" s="393"/>
      <c r="AN60" s="401"/>
      <c r="AO60" s="394"/>
      <c r="AP60" s="393"/>
      <c r="AQ60" s="394"/>
      <c r="AR60" s="393"/>
      <c r="AS60" s="394"/>
      <c r="AT60" s="308"/>
      <c r="AU60" s="267">
        <f t="shared" si="5"/>
        <v>0</v>
      </c>
      <c r="AV60" s="327"/>
      <c r="AW60" s="264">
        <f t="shared" si="10"/>
        <v>5000</v>
      </c>
      <c r="AX60" s="308"/>
      <c r="AY60" s="265">
        <f t="shared" si="7"/>
        <v>0</v>
      </c>
      <c r="AZ60" s="308"/>
      <c r="BA60" s="300"/>
      <c r="BB60" s="206"/>
      <c r="BC60" s="206"/>
      <c r="BD60" s="206"/>
    </row>
    <row r="61" spans="1:56" customFormat="1" x14ac:dyDescent="0.2">
      <c r="A61" s="301"/>
      <c r="B61" s="308"/>
      <c r="C61" s="308"/>
      <c r="D61" s="268">
        <v>10</v>
      </c>
      <c r="E61" s="308"/>
      <c r="F61" s="262"/>
      <c r="G61" s="308"/>
      <c r="H61" s="391"/>
      <c r="I61" s="392"/>
      <c r="J61" s="391"/>
      <c r="K61" s="392"/>
      <c r="L61" s="391"/>
      <c r="M61" s="392"/>
      <c r="N61" s="391"/>
      <c r="O61" s="400"/>
      <c r="P61" s="392"/>
      <c r="Q61" s="391"/>
      <c r="R61" s="392"/>
      <c r="S61" s="391"/>
      <c r="T61" s="392"/>
      <c r="U61" s="308"/>
      <c r="V61" s="269">
        <f t="shared" si="8"/>
        <v>0</v>
      </c>
      <c r="W61" s="327"/>
      <c r="X61" s="264">
        <f t="shared" si="9"/>
        <v>3000</v>
      </c>
      <c r="Y61" s="308"/>
      <c r="Z61" s="265">
        <f t="shared" si="6"/>
        <v>0</v>
      </c>
      <c r="AA61" s="308"/>
      <c r="AB61" s="315"/>
      <c r="AC61" s="261">
        <v>10</v>
      </c>
      <c r="AD61" s="308"/>
      <c r="AE61" s="262"/>
      <c r="AF61" s="308"/>
      <c r="AG61" s="391"/>
      <c r="AH61" s="392"/>
      <c r="AI61" s="391"/>
      <c r="AJ61" s="392"/>
      <c r="AK61" s="391"/>
      <c r="AL61" s="392"/>
      <c r="AM61" s="391"/>
      <c r="AN61" s="400"/>
      <c r="AO61" s="392"/>
      <c r="AP61" s="391"/>
      <c r="AQ61" s="392"/>
      <c r="AR61" s="391"/>
      <c r="AS61" s="392"/>
      <c r="AT61" s="308"/>
      <c r="AU61" s="263">
        <f t="shared" si="5"/>
        <v>0</v>
      </c>
      <c r="AV61" s="327"/>
      <c r="AW61" s="264">
        <f t="shared" si="10"/>
        <v>5000</v>
      </c>
      <c r="AX61" s="308"/>
      <c r="AY61" s="265">
        <f t="shared" si="7"/>
        <v>0</v>
      </c>
      <c r="AZ61" s="308"/>
      <c r="BA61" s="300"/>
      <c r="BB61" s="206"/>
      <c r="BC61" s="206"/>
      <c r="BD61" s="206"/>
    </row>
    <row r="62" spans="1:56" customFormat="1" x14ac:dyDescent="0.2">
      <c r="A62" s="301"/>
      <c r="B62" s="308"/>
      <c r="C62" s="308"/>
      <c r="D62" s="268">
        <v>11</v>
      </c>
      <c r="E62" s="308"/>
      <c r="F62" s="266"/>
      <c r="G62" s="308"/>
      <c r="H62" s="393"/>
      <c r="I62" s="394"/>
      <c r="J62" s="393"/>
      <c r="K62" s="394"/>
      <c r="L62" s="393"/>
      <c r="M62" s="394"/>
      <c r="N62" s="393"/>
      <c r="O62" s="401"/>
      <c r="P62" s="394"/>
      <c r="Q62" s="393"/>
      <c r="R62" s="394"/>
      <c r="S62" s="393"/>
      <c r="T62" s="394"/>
      <c r="U62" s="308"/>
      <c r="V62" s="267">
        <f t="shared" si="8"/>
        <v>0</v>
      </c>
      <c r="W62" s="327"/>
      <c r="X62" s="264">
        <f t="shared" si="9"/>
        <v>3000</v>
      </c>
      <c r="Y62" s="308"/>
      <c r="Z62" s="265">
        <f t="shared" si="6"/>
        <v>0</v>
      </c>
      <c r="AA62" s="308"/>
      <c r="AB62" s="315"/>
      <c r="AC62" s="261">
        <v>11</v>
      </c>
      <c r="AD62" s="308"/>
      <c r="AE62" s="266"/>
      <c r="AF62" s="308"/>
      <c r="AG62" s="393"/>
      <c r="AH62" s="394"/>
      <c r="AI62" s="393"/>
      <c r="AJ62" s="394"/>
      <c r="AK62" s="393"/>
      <c r="AL62" s="394"/>
      <c r="AM62" s="393"/>
      <c r="AN62" s="401"/>
      <c r="AO62" s="394"/>
      <c r="AP62" s="393"/>
      <c r="AQ62" s="394"/>
      <c r="AR62" s="393"/>
      <c r="AS62" s="394"/>
      <c r="AT62" s="308"/>
      <c r="AU62" s="267">
        <f t="shared" si="5"/>
        <v>0</v>
      </c>
      <c r="AV62" s="327"/>
      <c r="AW62" s="264">
        <f t="shared" si="10"/>
        <v>5000</v>
      </c>
      <c r="AX62" s="308"/>
      <c r="AY62" s="265">
        <f t="shared" si="7"/>
        <v>0</v>
      </c>
      <c r="AZ62" s="308"/>
      <c r="BA62" s="300"/>
      <c r="BB62" s="206"/>
      <c r="BC62" s="206"/>
      <c r="BD62" s="206"/>
    </row>
    <row r="63" spans="1:56" customFormat="1" x14ac:dyDescent="0.2">
      <c r="A63" s="301"/>
      <c r="B63" s="308"/>
      <c r="C63" s="308"/>
      <c r="D63" s="268">
        <v>12</v>
      </c>
      <c r="E63" s="308"/>
      <c r="F63" s="262"/>
      <c r="G63" s="308"/>
      <c r="H63" s="391"/>
      <c r="I63" s="392"/>
      <c r="J63" s="391"/>
      <c r="K63" s="392"/>
      <c r="L63" s="391"/>
      <c r="M63" s="392"/>
      <c r="N63" s="391"/>
      <c r="O63" s="400"/>
      <c r="P63" s="392"/>
      <c r="Q63" s="391"/>
      <c r="R63" s="392"/>
      <c r="S63" s="391"/>
      <c r="T63" s="392"/>
      <c r="U63" s="308"/>
      <c r="V63" s="269">
        <f t="shared" si="8"/>
        <v>0</v>
      </c>
      <c r="W63" s="327"/>
      <c r="X63" s="264">
        <f t="shared" si="9"/>
        <v>3000</v>
      </c>
      <c r="Y63" s="308"/>
      <c r="Z63" s="265">
        <f t="shared" si="6"/>
        <v>0</v>
      </c>
      <c r="AA63" s="308"/>
      <c r="AB63" s="315"/>
      <c r="AC63" s="261">
        <v>12</v>
      </c>
      <c r="AD63" s="308"/>
      <c r="AE63" s="262"/>
      <c r="AF63" s="308"/>
      <c r="AG63" s="391"/>
      <c r="AH63" s="392"/>
      <c r="AI63" s="391"/>
      <c r="AJ63" s="392"/>
      <c r="AK63" s="391"/>
      <c r="AL63" s="392"/>
      <c r="AM63" s="391"/>
      <c r="AN63" s="400"/>
      <c r="AO63" s="392"/>
      <c r="AP63" s="391"/>
      <c r="AQ63" s="392"/>
      <c r="AR63" s="391"/>
      <c r="AS63" s="392"/>
      <c r="AT63" s="308"/>
      <c r="AU63" s="263">
        <f t="shared" si="5"/>
        <v>0</v>
      </c>
      <c r="AV63" s="327"/>
      <c r="AW63" s="264">
        <f t="shared" si="10"/>
        <v>5000</v>
      </c>
      <c r="AX63" s="308"/>
      <c r="AY63" s="265">
        <f t="shared" si="7"/>
        <v>0</v>
      </c>
      <c r="AZ63" s="308"/>
      <c r="BA63" s="300"/>
      <c r="BB63" s="206"/>
      <c r="BC63" s="206"/>
      <c r="BD63" s="206"/>
    </row>
    <row r="64" spans="1:56" customFormat="1" x14ac:dyDescent="0.2">
      <c r="A64" s="301"/>
      <c r="B64" s="308"/>
      <c r="C64" s="308"/>
      <c r="D64" s="261">
        <v>13</v>
      </c>
      <c r="E64" s="308"/>
      <c r="F64" s="266"/>
      <c r="G64" s="308"/>
      <c r="H64" s="393"/>
      <c r="I64" s="394"/>
      <c r="J64" s="393"/>
      <c r="K64" s="394"/>
      <c r="L64" s="393"/>
      <c r="M64" s="394"/>
      <c r="N64" s="393"/>
      <c r="O64" s="401"/>
      <c r="P64" s="394"/>
      <c r="Q64" s="393"/>
      <c r="R64" s="394"/>
      <c r="S64" s="393"/>
      <c r="T64" s="394"/>
      <c r="U64" s="308"/>
      <c r="V64" s="267">
        <f t="shared" si="8"/>
        <v>0</v>
      </c>
      <c r="W64" s="327"/>
      <c r="X64" s="264">
        <f t="shared" si="9"/>
        <v>3000</v>
      </c>
      <c r="Y64" s="308"/>
      <c r="Z64" s="265">
        <f t="shared" si="6"/>
        <v>0</v>
      </c>
      <c r="AA64" s="308"/>
      <c r="AB64" s="315"/>
      <c r="AC64" s="261">
        <v>13</v>
      </c>
      <c r="AD64" s="308"/>
      <c r="AE64" s="266"/>
      <c r="AF64" s="308"/>
      <c r="AG64" s="393"/>
      <c r="AH64" s="394"/>
      <c r="AI64" s="393"/>
      <c r="AJ64" s="394"/>
      <c r="AK64" s="393"/>
      <c r="AL64" s="394"/>
      <c r="AM64" s="393"/>
      <c r="AN64" s="401"/>
      <c r="AO64" s="394"/>
      <c r="AP64" s="393"/>
      <c r="AQ64" s="394"/>
      <c r="AR64" s="393"/>
      <c r="AS64" s="394"/>
      <c r="AT64" s="308"/>
      <c r="AU64" s="267">
        <f t="shared" si="5"/>
        <v>0</v>
      </c>
      <c r="AV64" s="327"/>
      <c r="AW64" s="264">
        <f t="shared" si="10"/>
        <v>5000</v>
      </c>
      <c r="AX64" s="308"/>
      <c r="AY64" s="265">
        <f t="shared" si="7"/>
        <v>0</v>
      </c>
      <c r="AZ64" s="308"/>
      <c r="BA64" s="300"/>
      <c r="BB64" s="206"/>
      <c r="BC64" s="206"/>
      <c r="BD64" s="206"/>
    </row>
    <row r="65" spans="1:56" customFormat="1" x14ac:dyDescent="0.2">
      <c r="A65" s="301"/>
      <c r="B65" s="308"/>
      <c r="C65" s="308"/>
      <c r="D65" s="261">
        <v>14</v>
      </c>
      <c r="E65" s="308"/>
      <c r="F65" s="262"/>
      <c r="G65" s="308"/>
      <c r="H65" s="391"/>
      <c r="I65" s="392"/>
      <c r="J65" s="391"/>
      <c r="K65" s="397"/>
      <c r="L65" s="398"/>
      <c r="M65" s="392"/>
      <c r="N65" s="391"/>
      <c r="O65" s="400"/>
      <c r="P65" s="392"/>
      <c r="Q65" s="391"/>
      <c r="R65" s="392"/>
      <c r="S65" s="391"/>
      <c r="T65" s="392"/>
      <c r="U65" s="308"/>
      <c r="V65" s="269">
        <f t="shared" si="8"/>
        <v>0</v>
      </c>
      <c r="W65" s="327"/>
      <c r="X65" s="264">
        <f t="shared" si="9"/>
        <v>3000</v>
      </c>
      <c r="Y65" s="308"/>
      <c r="Z65" s="265">
        <f t="shared" si="6"/>
        <v>0</v>
      </c>
      <c r="AA65" s="308"/>
      <c r="AB65" s="315"/>
      <c r="AC65" s="261">
        <v>14</v>
      </c>
      <c r="AD65" s="308"/>
      <c r="AE65" s="262"/>
      <c r="AF65" s="308"/>
      <c r="AG65" s="391"/>
      <c r="AH65" s="392"/>
      <c r="AI65" s="391"/>
      <c r="AJ65" s="397"/>
      <c r="AK65" s="398"/>
      <c r="AL65" s="392"/>
      <c r="AM65" s="391"/>
      <c r="AN65" s="400"/>
      <c r="AO65" s="392"/>
      <c r="AP65" s="391"/>
      <c r="AQ65" s="392"/>
      <c r="AR65" s="391"/>
      <c r="AS65" s="392"/>
      <c r="AT65" s="308"/>
      <c r="AU65" s="263">
        <f t="shared" si="5"/>
        <v>0</v>
      </c>
      <c r="AV65" s="327"/>
      <c r="AW65" s="264">
        <f t="shared" si="10"/>
        <v>5000</v>
      </c>
      <c r="AX65" s="308"/>
      <c r="AY65" s="265">
        <f t="shared" si="7"/>
        <v>0</v>
      </c>
      <c r="AZ65" s="308"/>
      <c r="BA65" s="300"/>
      <c r="BB65" s="206"/>
      <c r="BC65" s="206"/>
      <c r="BD65" s="206"/>
    </row>
    <row r="66" spans="1:56" customFormat="1" x14ac:dyDescent="0.2">
      <c r="A66" s="301"/>
      <c r="B66" s="308"/>
      <c r="C66" s="308"/>
      <c r="D66" s="261">
        <v>15</v>
      </c>
      <c r="E66" s="308"/>
      <c r="F66" s="266"/>
      <c r="G66" s="308"/>
      <c r="H66" s="393"/>
      <c r="I66" s="394"/>
      <c r="J66" s="393"/>
      <c r="K66" s="394"/>
      <c r="L66" s="393"/>
      <c r="M66" s="394"/>
      <c r="N66" s="393"/>
      <c r="O66" s="401"/>
      <c r="P66" s="394"/>
      <c r="Q66" s="393"/>
      <c r="R66" s="394"/>
      <c r="S66" s="393"/>
      <c r="T66" s="394"/>
      <c r="U66" s="308"/>
      <c r="V66" s="267">
        <f t="shared" si="8"/>
        <v>0</v>
      </c>
      <c r="W66" s="327"/>
      <c r="X66" s="264">
        <f t="shared" si="9"/>
        <v>3000</v>
      </c>
      <c r="Y66" s="308"/>
      <c r="Z66" s="265">
        <f t="shared" si="6"/>
        <v>0</v>
      </c>
      <c r="AA66" s="308"/>
      <c r="AB66" s="315"/>
      <c r="AC66" s="261">
        <v>15</v>
      </c>
      <c r="AD66" s="308"/>
      <c r="AE66" s="266"/>
      <c r="AF66" s="308"/>
      <c r="AG66" s="393"/>
      <c r="AH66" s="394"/>
      <c r="AI66" s="393"/>
      <c r="AJ66" s="394"/>
      <c r="AK66" s="393"/>
      <c r="AL66" s="394"/>
      <c r="AM66" s="393"/>
      <c r="AN66" s="401"/>
      <c r="AO66" s="394"/>
      <c r="AP66" s="393"/>
      <c r="AQ66" s="394"/>
      <c r="AR66" s="393"/>
      <c r="AS66" s="394"/>
      <c r="AT66" s="308"/>
      <c r="AU66" s="267">
        <f t="shared" si="5"/>
        <v>0</v>
      </c>
      <c r="AV66" s="327"/>
      <c r="AW66" s="264">
        <f t="shared" si="10"/>
        <v>5000</v>
      </c>
      <c r="AX66" s="308"/>
      <c r="AY66" s="265">
        <f t="shared" si="7"/>
        <v>0</v>
      </c>
      <c r="AZ66" s="308"/>
      <c r="BA66" s="300"/>
      <c r="BB66" s="206"/>
      <c r="BC66" s="206"/>
      <c r="BD66" s="206"/>
    </row>
    <row r="67" spans="1:56" customFormat="1" x14ac:dyDescent="0.2">
      <c r="A67" s="301"/>
      <c r="B67" s="308"/>
      <c r="C67" s="308"/>
      <c r="D67" s="261">
        <v>16</v>
      </c>
      <c r="E67" s="308"/>
      <c r="F67" s="262"/>
      <c r="G67" s="308"/>
      <c r="H67" s="391"/>
      <c r="I67" s="392"/>
      <c r="J67" s="391"/>
      <c r="K67" s="392"/>
      <c r="L67" s="391"/>
      <c r="M67" s="392"/>
      <c r="N67" s="391"/>
      <c r="O67" s="400"/>
      <c r="P67" s="392"/>
      <c r="Q67" s="391"/>
      <c r="R67" s="392"/>
      <c r="S67" s="391"/>
      <c r="T67" s="392"/>
      <c r="U67" s="308"/>
      <c r="V67" s="269">
        <f t="shared" si="8"/>
        <v>0</v>
      </c>
      <c r="W67" s="327"/>
      <c r="X67" s="264">
        <f t="shared" si="9"/>
        <v>3000</v>
      </c>
      <c r="Y67" s="308"/>
      <c r="Z67" s="265">
        <f t="shared" si="6"/>
        <v>0</v>
      </c>
      <c r="AA67" s="308"/>
      <c r="AB67" s="315"/>
      <c r="AC67" s="261">
        <v>16</v>
      </c>
      <c r="AD67" s="308"/>
      <c r="AE67" s="262"/>
      <c r="AF67" s="308"/>
      <c r="AG67" s="391"/>
      <c r="AH67" s="392"/>
      <c r="AI67" s="391"/>
      <c r="AJ67" s="392"/>
      <c r="AK67" s="391"/>
      <c r="AL67" s="392"/>
      <c r="AM67" s="391"/>
      <c r="AN67" s="400"/>
      <c r="AO67" s="392"/>
      <c r="AP67" s="391"/>
      <c r="AQ67" s="392"/>
      <c r="AR67" s="391"/>
      <c r="AS67" s="392"/>
      <c r="AT67" s="308"/>
      <c r="AU67" s="269">
        <f t="shared" si="5"/>
        <v>0</v>
      </c>
      <c r="AV67" s="327"/>
      <c r="AW67" s="264">
        <f t="shared" si="10"/>
        <v>5000</v>
      </c>
      <c r="AX67" s="308"/>
      <c r="AY67" s="265">
        <f t="shared" si="7"/>
        <v>0</v>
      </c>
      <c r="AZ67" s="308"/>
      <c r="BA67" s="300"/>
      <c r="BB67" s="206"/>
      <c r="BC67" s="206"/>
      <c r="BD67" s="206"/>
    </row>
    <row r="68" spans="1:56" customFormat="1" x14ac:dyDescent="0.2">
      <c r="A68" s="301"/>
      <c r="B68" s="308"/>
      <c r="C68" s="308"/>
      <c r="D68" s="261">
        <v>17</v>
      </c>
      <c r="E68" s="308"/>
      <c r="F68" s="266"/>
      <c r="G68" s="308"/>
      <c r="H68" s="393"/>
      <c r="I68" s="394"/>
      <c r="J68" s="393"/>
      <c r="K68" s="394"/>
      <c r="L68" s="393"/>
      <c r="M68" s="394"/>
      <c r="N68" s="393"/>
      <c r="O68" s="401"/>
      <c r="P68" s="394"/>
      <c r="Q68" s="393"/>
      <c r="R68" s="394"/>
      <c r="S68" s="393"/>
      <c r="T68" s="394"/>
      <c r="U68" s="308"/>
      <c r="V68" s="267">
        <f t="shared" si="8"/>
        <v>0</v>
      </c>
      <c r="W68" s="327"/>
      <c r="X68" s="264">
        <f t="shared" si="9"/>
        <v>3000</v>
      </c>
      <c r="Y68" s="308"/>
      <c r="Z68" s="265">
        <f t="shared" si="6"/>
        <v>0</v>
      </c>
      <c r="AA68" s="308"/>
      <c r="AB68" s="315"/>
      <c r="AC68" s="261">
        <v>17</v>
      </c>
      <c r="AD68" s="308"/>
      <c r="AE68" s="266"/>
      <c r="AF68" s="308"/>
      <c r="AG68" s="393"/>
      <c r="AH68" s="394"/>
      <c r="AI68" s="393"/>
      <c r="AJ68" s="394"/>
      <c r="AK68" s="393"/>
      <c r="AL68" s="394"/>
      <c r="AM68" s="393"/>
      <c r="AN68" s="401"/>
      <c r="AO68" s="394"/>
      <c r="AP68" s="393"/>
      <c r="AQ68" s="394"/>
      <c r="AR68" s="393"/>
      <c r="AS68" s="394"/>
      <c r="AT68" s="308"/>
      <c r="AU68" s="267">
        <f t="shared" si="5"/>
        <v>0</v>
      </c>
      <c r="AV68" s="327"/>
      <c r="AW68" s="264">
        <f t="shared" si="10"/>
        <v>5000</v>
      </c>
      <c r="AX68" s="308"/>
      <c r="AY68" s="265">
        <f t="shared" si="7"/>
        <v>0</v>
      </c>
      <c r="AZ68" s="308"/>
      <c r="BA68" s="300"/>
      <c r="BB68" s="206"/>
      <c r="BC68" s="206"/>
      <c r="BD68" s="206"/>
    </row>
    <row r="69" spans="1:56" customFormat="1" x14ac:dyDescent="0.2">
      <c r="A69" s="301"/>
      <c r="B69" s="308"/>
      <c r="C69" s="308"/>
      <c r="D69" s="261">
        <v>18</v>
      </c>
      <c r="E69" s="308"/>
      <c r="F69" s="262"/>
      <c r="G69" s="308"/>
      <c r="H69" s="391"/>
      <c r="I69" s="392"/>
      <c r="J69" s="391"/>
      <c r="K69" s="392"/>
      <c r="L69" s="391"/>
      <c r="M69" s="392"/>
      <c r="N69" s="391"/>
      <c r="O69" s="400"/>
      <c r="P69" s="392"/>
      <c r="Q69" s="391"/>
      <c r="R69" s="392"/>
      <c r="S69" s="391"/>
      <c r="T69" s="392"/>
      <c r="U69" s="308"/>
      <c r="V69" s="263">
        <f t="shared" si="8"/>
        <v>0</v>
      </c>
      <c r="W69" s="327"/>
      <c r="X69" s="264">
        <f t="shared" si="9"/>
        <v>3000</v>
      </c>
      <c r="Y69" s="308"/>
      <c r="Z69" s="265">
        <f t="shared" si="6"/>
        <v>0</v>
      </c>
      <c r="AA69" s="354"/>
      <c r="AB69" s="355"/>
      <c r="AC69" s="261">
        <v>18</v>
      </c>
      <c r="AD69" s="308"/>
      <c r="AE69" s="262"/>
      <c r="AF69" s="308"/>
      <c r="AG69" s="391"/>
      <c r="AH69" s="392"/>
      <c r="AI69" s="391"/>
      <c r="AJ69" s="392"/>
      <c r="AK69" s="391"/>
      <c r="AL69" s="392"/>
      <c r="AM69" s="391"/>
      <c r="AN69" s="400"/>
      <c r="AO69" s="392"/>
      <c r="AP69" s="391"/>
      <c r="AQ69" s="392"/>
      <c r="AR69" s="391"/>
      <c r="AS69" s="392"/>
      <c r="AT69" s="308"/>
      <c r="AU69" s="263">
        <f t="shared" si="5"/>
        <v>0</v>
      </c>
      <c r="AV69" s="327"/>
      <c r="AW69" s="264">
        <f t="shared" si="10"/>
        <v>5000</v>
      </c>
      <c r="AX69" s="308"/>
      <c r="AY69" s="265">
        <f t="shared" si="7"/>
        <v>0</v>
      </c>
      <c r="AZ69" s="308"/>
      <c r="BA69" s="300"/>
      <c r="BB69" s="206"/>
      <c r="BC69" s="206"/>
      <c r="BD69" s="206"/>
    </row>
    <row r="70" spans="1:56" customFormat="1" x14ac:dyDescent="0.2">
      <c r="A70" s="301"/>
      <c r="B70" s="308"/>
      <c r="C70" s="308"/>
      <c r="D70" s="261">
        <v>19</v>
      </c>
      <c r="E70" s="308"/>
      <c r="F70" s="266"/>
      <c r="G70" s="308"/>
      <c r="H70" s="393"/>
      <c r="I70" s="394"/>
      <c r="J70" s="393"/>
      <c r="K70" s="394"/>
      <c r="L70" s="393"/>
      <c r="M70" s="394"/>
      <c r="N70" s="393"/>
      <c r="O70" s="401"/>
      <c r="P70" s="394"/>
      <c r="Q70" s="393"/>
      <c r="R70" s="394"/>
      <c r="S70" s="393"/>
      <c r="T70" s="394"/>
      <c r="U70" s="308"/>
      <c r="V70" s="267">
        <f t="shared" si="8"/>
        <v>0</v>
      </c>
      <c r="W70" s="327"/>
      <c r="X70" s="264">
        <f t="shared" si="9"/>
        <v>3000</v>
      </c>
      <c r="Y70" s="308"/>
      <c r="Z70" s="265">
        <f t="shared" si="6"/>
        <v>0</v>
      </c>
      <c r="AA70" s="308"/>
      <c r="AB70" s="315"/>
      <c r="AC70" s="261">
        <v>19</v>
      </c>
      <c r="AD70" s="308"/>
      <c r="AE70" s="266"/>
      <c r="AF70" s="308"/>
      <c r="AG70" s="393"/>
      <c r="AH70" s="394"/>
      <c r="AI70" s="393"/>
      <c r="AJ70" s="394"/>
      <c r="AK70" s="393"/>
      <c r="AL70" s="394"/>
      <c r="AM70" s="393"/>
      <c r="AN70" s="401"/>
      <c r="AO70" s="394"/>
      <c r="AP70" s="393"/>
      <c r="AQ70" s="394"/>
      <c r="AR70" s="393"/>
      <c r="AS70" s="394"/>
      <c r="AT70" s="308"/>
      <c r="AU70" s="267">
        <f t="shared" si="5"/>
        <v>0</v>
      </c>
      <c r="AV70" s="327"/>
      <c r="AW70" s="264">
        <f t="shared" si="10"/>
        <v>5000</v>
      </c>
      <c r="AX70" s="308"/>
      <c r="AY70" s="265">
        <f t="shared" si="7"/>
        <v>0</v>
      </c>
      <c r="AZ70" s="308"/>
      <c r="BA70" s="300"/>
      <c r="BB70" s="206"/>
      <c r="BC70" s="206"/>
      <c r="BD70" s="206"/>
    </row>
    <row r="71" spans="1:56" customFormat="1" x14ac:dyDescent="0.2">
      <c r="A71" s="301"/>
      <c r="B71" s="308"/>
      <c r="C71" s="308"/>
      <c r="D71" s="261">
        <v>20</v>
      </c>
      <c r="E71" s="308"/>
      <c r="F71" s="262"/>
      <c r="G71" s="308"/>
      <c r="H71" s="391"/>
      <c r="I71" s="392"/>
      <c r="J71" s="391"/>
      <c r="K71" s="392"/>
      <c r="L71" s="391"/>
      <c r="M71" s="392"/>
      <c r="N71" s="391"/>
      <c r="O71" s="400"/>
      <c r="P71" s="392"/>
      <c r="Q71" s="391"/>
      <c r="R71" s="392"/>
      <c r="S71" s="391"/>
      <c r="T71" s="392"/>
      <c r="U71" s="308"/>
      <c r="V71" s="263">
        <f t="shared" si="8"/>
        <v>0</v>
      </c>
      <c r="W71" s="327"/>
      <c r="X71" s="264">
        <f t="shared" si="9"/>
        <v>3000</v>
      </c>
      <c r="Y71" s="308"/>
      <c r="Z71" s="265">
        <f t="shared" si="6"/>
        <v>0</v>
      </c>
      <c r="AA71" s="308"/>
      <c r="AB71" s="315"/>
      <c r="AC71" s="261">
        <v>20</v>
      </c>
      <c r="AD71" s="308"/>
      <c r="AE71" s="262"/>
      <c r="AF71" s="308"/>
      <c r="AG71" s="391"/>
      <c r="AH71" s="392"/>
      <c r="AI71" s="391"/>
      <c r="AJ71" s="392"/>
      <c r="AK71" s="391"/>
      <c r="AL71" s="392"/>
      <c r="AM71" s="391"/>
      <c r="AN71" s="400"/>
      <c r="AO71" s="392"/>
      <c r="AP71" s="391"/>
      <c r="AQ71" s="392"/>
      <c r="AR71" s="391"/>
      <c r="AS71" s="392"/>
      <c r="AT71" s="308"/>
      <c r="AU71" s="263">
        <f t="shared" si="5"/>
        <v>0</v>
      </c>
      <c r="AV71" s="327"/>
      <c r="AW71" s="264">
        <f t="shared" si="10"/>
        <v>5000</v>
      </c>
      <c r="AX71" s="308"/>
      <c r="AY71" s="265">
        <f t="shared" si="7"/>
        <v>0</v>
      </c>
      <c r="AZ71" s="308"/>
      <c r="BA71" s="300"/>
      <c r="BB71" s="206"/>
      <c r="BC71" s="206"/>
      <c r="BD71" s="206"/>
    </row>
    <row r="72" spans="1:56" customFormat="1" x14ac:dyDescent="0.2">
      <c r="A72" s="301"/>
      <c r="B72" s="308"/>
      <c r="C72" s="308"/>
      <c r="D72" s="261">
        <v>21</v>
      </c>
      <c r="E72" s="308"/>
      <c r="F72" s="266"/>
      <c r="G72" s="308"/>
      <c r="H72" s="393"/>
      <c r="I72" s="394"/>
      <c r="J72" s="393"/>
      <c r="K72" s="394"/>
      <c r="L72" s="393"/>
      <c r="M72" s="394"/>
      <c r="N72" s="393"/>
      <c r="O72" s="401"/>
      <c r="P72" s="394"/>
      <c r="Q72" s="393"/>
      <c r="R72" s="394"/>
      <c r="S72" s="393"/>
      <c r="T72" s="394"/>
      <c r="U72" s="308"/>
      <c r="V72" s="267">
        <f t="shared" si="8"/>
        <v>0</v>
      </c>
      <c r="W72" s="327"/>
      <c r="X72" s="264">
        <f t="shared" si="9"/>
        <v>3000</v>
      </c>
      <c r="Y72" s="308"/>
      <c r="Z72" s="265">
        <f t="shared" si="6"/>
        <v>0</v>
      </c>
      <c r="AA72" s="308"/>
      <c r="AB72" s="315"/>
      <c r="AC72" s="261">
        <v>21</v>
      </c>
      <c r="AD72" s="308"/>
      <c r="AE72" s="266"/>
      <c r="AF72" s="308"/>
      <c r="AG72" s="393"/>
      <c r="AH72" s="394"/>
      <c r="AI72" s="393"/>
      <c r="AJ72" s="394"/>
      <c r="AK72" s="393"/>
      <c r="AL72" s="394"/>
      <c r="AM72" s="393"/>
      <c r="AN72" s="401"/>
      <c r="AO72" s="394"/>
      <c r="AP72" s="393"/>
      <c r="AQ72" s="394"/>
      <c r="AR72" s="393"/>
      <c r="AS72" s="394"/>
      <c r="AT72" s="308"/>
      <c r="AU72" s="267">
        <f t="shared" si="5"/>
        <v>0</v>
      </c>
      <c r="AV72" s="327"/>
      <c r="AW72" s="264">
        <f t="shared" si="10"/>
        <v>5000</v>
      </c>
      <c r="AX72" s="308"/>
      <c r="AY72" s="265">
        <f t="shared" si="7"/>
        <v>0</v>
      </c>
      <c r="AZ72" s="308"/>
      <c r="BA72" s="300"/>
      <c r="BB72" s="206"/>
      <c r="BC72" s="206"/>
      <c r="BD72" s="206"/>
    </row>
    <row r="73" spans="1:56" customFormat="1" x14ac:dyDescent="0.2">
      <c r="A73" s="301"/>
      <c r="B73" s="308"/>
      <c r="C73" s="308"/>
      <c r="D73" s="261">
        <v>22</v>
      </c>
      <c r="E73" s="308"/>
      <c r="F73" s="262"/>
      <c r="G73" s="308"/>
      <c r="H73" s="391"/>
      <c r="I73" s="392"/>
      <c r="J73" s="391"/>
      <c r="K73" s="392"/>
      <c r="L73" s="391"/>
      <c r="M73" s="392"/>
      <c r="N73" s="391"/>
      <c r="O73" s="400"/>
      <c r="P73" s="392"/>
      <c r="Q73" s="391"/>
      <c r="R73" s="392"/>
      <c r="S73" s="391"/>
      <c r="T73" s="392"/>
      <c r="U73" s="308"/>
      <c r="V73" s="263">
        <f t="shared" si="8"/>
        <v>0</v>
      </c>
      <c r="W73" s="327"/>
      <c r="X73" s="264">
        <f t="shared" si="9"/>
        <v>3000</v>
      </c>
      <c r="Y73" s="308"/>
      <c r="Z73" s="265">
        <f t="shared" si="6"/>
        <v>0</v>
      </c>
      <c r="AA73" s="308"/>
      <c r="AB73" s="315"/>
      <c r="AC73" s="261">
        <v>22</v>
      </c>
      <c r="AD73" s="308"/>
      <c r="AE73" s="262"/>
      <c r="AF73" s="308"/>
      <c r="AG73" s="391"/>
      <c r="AH73" s="392"/>
      <c r="AI73" s="391"/>
      <c r="AJ73" s="392"/>
      <c r="AK73" s="391"/>
      <c r="AL73" s="392"/>
      <c r="AM73" s="391"/>
      <c r="AN73" s="400"/>
      <c r="AO73" s="392"/>
      <c r="AP73" s="391"/>
      <c r="AQ73" s="392"/>
      <c r="AR73" s="391"/>
      <c r="AS73" s="392"/>
      <c r="AT73" s="308"/>
      <c r="AU73" s="263">
        <f t="shared" si="5"/>
        <v>0</v>
      </c>
      <c r="AV73" s="327"/>
      <c r="AW73" s="264">
        <f t="shared" si="10"/>
        <v>5000</v>
      </c>
      <c r="AX73" s="308"/>
      <c r="AY73" s="265">
        <f t="shared" si="7"/>
        <v>0</v>
      </c>
      <c r="AZ73" s="308"/>
      <c r="BA73" s="300"/>
      <c r="BB73" s="206"/>
      <c r="BC73" s="206"/>
      <c r="BD73" s="206"/>
    </row>
    <row r="74" spans="1:56" customFormat="1" x14ac:dyDescent="0.2">
      <c r="A74" s="301"/>
      <c r="B74" s="308"/>
      <c r="C74" s="308"/>
      <c r="D74" s="261">
        <v>23</v>
      </c>
      <c r="E74" s="308"/>
      <c r="F74" s="266"/>
      <c r="G74" s="308"/>
      <c r="H74" s="393"/>
      <c r="I74" s="394"/>
      <c r="J74" s="393"/>
      <c r="K74" s="394"/>
      <c r="L74" s="393"/>
      <c r="M74" s="394"/>
      <c r="N74" s="393"/>
      <c r="O74" s="401"/>
      <c r="P74" s="394"/>
      <c r="Q74" s="393"/>
      <c r="R74" s="394"/>
      <c r="S74" s="393"/>
      <c r="T74" s="394"/>
      <c r="U74" s="308"/>
      <c r="V74" s="267">
        <f t="shared" si="8"/>
        <v>0</v>
      </c>
      <c r="W74" s="327"/>
      <c r="X74" s="264">
        <f t="shared" si="9"/>
        <v>3000</v>
      </c>
      <c r="Y74" s="308"/>
      <c r="Z74" s="265">
        <f t="shared" si="6"/>
        <v>0</v>
      </c>
      <c r="AA74" s="308"/>
      <c r="AB74" s="315"/>
      <c r="AC74" s="261">
        <v>23</v>
      </c>
      <c r="AD74" s="308"/>
      <c r="AE74" s="266"/>
      <c r="AF74" s="308"/>
      <c r="AG74" s="393"/>
      <c r="AH74" s="394"/>
      <c r="AI74" s="393"/>
      <c r="AJ74" s="394"/>
      <c r="AK74" s="393"/>
      <c r="AL74" s="394"/>
      <c r="AM74" s="393"/>
      <c r="AN74" s="401"/>
      <c r="AO74" s="394"/>
      <c r="AP74" s="393"/>
      <c r="AQ74" s="394"/>
      <c r="AR74" s="393"/>
      <c r="AS74" s="394"/>
      <c r="AT74" s="308"/>
      <c r="AU74" s="267">
        <f t="shared" si="5"/>
        <v>0</v>
      </c>
      <c r="AV74" s="327"/>
      <c r="AW74" s="264">
        <f t="shared" si="10"/>
        <v>5000</v>
      </c>
      <c r="AX74" s="308"/>
      <c r="AY74" s="265">
        <f t="shared" si="7"/>
        <v>0</v>
      </c>
      <c r="AZ74" s="308"/>
      <c r="BA74" s="300"/>
      <c r="BB74" s="206"/>
      <c r="BC74" s="206"/>
      <c r="BD74" s="206"/>
    </row>
    <row r="75" spans="1:56" customFormat="1" x14ac:dyDescent="0.2">
      <c r="A75" s="301"/>
      <c r="B75" s="308"/>
      <c r="C75" s="308"/>
      <c r="D75" s="261">
        <v>24</v>
      </c>
      <c r="E75" s="308"/>
      <c r="F75" s="262"/>
      <c r="G75" s="308"/>
      <c r="H75" s="391"/>
      <c r="I75" s="392"/>
      <c r="J75" s="391"/>
      <c r="K75" s="392"/>
      <c r="L75" s="391"/>
      <c r="M75" s="392"/>
      <c r="N75" s="391"/>
      <c r="O75" s="400"/>
      <c r="P75" s="392"/>
      <c r="Q75" s="391"/>
      <c r="R75" s="392"/>
      <c r="S75" s="391"/>
      <c r="T75" s="392"/>
      <c r="U75" s="308"/>
      <c r="V75" s="263">
        <f t="shared" si="8"/>
        <v>0</v>
      </c>
      <c r="W75" s="327"/>
      <c r="X75" s="264">
        <f t="shared" si="9"/>
        <v>3000</v>
      </c>
      <c r="Y75" s="308"/>
      <c r="Z75" s="265">
        <f t="shared" si="6"/>
        <v>0</v>
      </c>
      <c r="AA75" s="308"/>
      <c r="AB75" s="315"/>
      <c r="AC75" s="261">
        <v>24</v>
      </c>
      <c r="AD75" s="308"/>
      <c r="AE75" s="262"/>
      <c r="AF75" s="308"/>
      <c r="AG75" s="391"/>
      <c r="AH75" s="392"/>
      <c r="AI75" s="391"/>
      <c r="AJ75" s="392"/>
      <c r="AK75" s="391"/>
      <c r="AL75" s="392"/>
      <c r="AM75" s="391"/>
      <c r="AN75" s="400"/>
      <c r="AO75" s="392"/>
      <c r="AP75" s="391"/>
      <c r="AQ75" s="392"/>
      <c r="AR75" s="391"/>
      <c r="AS75" s="392"/>
      <c r="AT75" s="308"/>
      <c r="AU75" s="263">
        <f t="shared" si="5"/>
        <v>0</v>
      </c>
      <c r="AV75" s="327"/>
      <c r="AW75" s="264">
        <f t="shared" si="10"/>
        <v>5000</v>
      </c>
      <c r="AX75" s="308"/>
      <c r="AY75" s="265">
        <f t="shared" si="7"/>
        <v>0</v>
      </c>
      <c r="AZ75" s="308"/>
      <c r="BA75" s="300"/>
      <c r="BB75" s="206"/>
      <c r="BC75" s="206"/>
      <c r="BD75" s="206"/>
    </row>
    <row r="76" spans="1:56" customFormat="1" x14ac:dyDescent="0.2">
      <c r="A76" s="301"/>
      <c r="B76" s="308"/>
      <c r="C76" s="308"/>
      <c r="D76" s="261">
        <v>25</v>
      </c>
      <c r="E76" s="308"/>
      <c r="F76" s="266"/>
      <c r="G76" s="308"/>
      <c r="H76" s="393"/>
      <c r="I76" s="394"/>
      <c r="J76" s="393"/>
      <c r="K76" s="394"/>
      <c r="L76" s="393"/>
      <c r="M76" s="394"/>
      <c r="N76" s="393"/>
      <c r="O76" s="401"/>
      <c r="P76" s="394"/>
      <c r="Q76" s="393"/>
      <c r="R76" s="394"/>
      <c r="S76" s="393"/>
      <c r="T76" s="394"/>
      <c r="U76" s="308"/>
      <c r="V76" s="267">
        <f t="shared" si="8"/>
        <v>0</v>
      </c>
      <c r="W76" s="327"/>
      <c r="X76" s="264">
        <f t="shared" si="9"/>
        <v>3000</v>
      </c>
      <c r="Y76" s="308"/>
      <c r="Z76" s="265">
        <f t="shared" si="6"/>
        <v>0</v>
      </c>
      <c r="AA76" s="308"/>
      <c r="AB76" s="315"/>
      <c r="AC76" s="261">
        <v>25</v>
      </c>
      <c r="AD76" s="308"/>
      <c r="AE76" s="266"/>
      <c r="AF76" s="308"/>
      <c r="AG76" s="393"/>
      <c r="AH76" s="394"/>
      <c r="AI76" s="393"/>
      <c r="AJ76" s="394"/>
      <c r="AK76" s="393"/>
      <c r="AL76" s="394"/>
      <c r="AM76" s="393"/>
      <c r="AN76" s="401"/>
      <c r="AO76" s="394"/>
      <c r="AP76" s="393"/>
      <c r="AQ76" s="394"/>
      <c r="AR76" s="393"/>
      <c r="AS76" s="394"/>
      <c r="AT76" s="308"/>
      <c r="AU76" s="267">
        <f t="shared" si="5"/>
        <v>0</v>
      </c>
      <c r="AV76" s="327"/>
      <c r="AW76" s="264">
        <f t="shared" si="10"/>
        <v>5000</v>
      </c>
      <c r="AX76" s="308"/>
      <c r="AY76" s="265">
        <f t="shared" si="7"/>
        <v>0</v>
      </c>
      <c r="AZ76" s="308"/>
      <c r="BA76" s="300"/>
      <c r="BB76" s="206"/>
      <c r="BC76" s="206"/>
      <c r="BD76" s="206"/>
    </row>
    <row r="77" spans="1:56" customFormat="1" x14ac:dyDescent="0.2">
      <c r="A77" s="301"/>
      <c r="B77" s="308"/>
      <c r="C77" s="308"/>
      <c r="D77" s="261">
        <v>26</v>
      </c>
      <c r="E77" s="308"/>
      <c r="F77" s="262"/>
      <c r="G77" s="308"/>
      <c r="H77" s="391"/>
      <c r="I77" s="392"/>
      <c r="J77" s="391"/>
      <c r="K77" s="392"/>
      <c r="L77" s="391"/>
      <c r="M77" s="392"/>
      <c r="N77" s="391"/>
      <c r="O77" s="400"/>
      <c r="P77" s="392"/>
      <c r="Q77" s="391"/>
      <c r="R77" s="392"/>
      <c r="S77" s="391"/>
      <c r="T77" s="392"/>
      <c r="U77" s="308"/>
      <c r="V77" s="263">
        <f t="shared" si="8"/>
        <v>0</v>
      </c>
      <c r="W77" s="327"/>
      <c r="X77" s="264">
        <f t="shared" si="9"/>
        <v>3000</v>
      </c>
      <c r="Y77" s="308"/>
      <c r="Z77" s="265">
        <f t="shared" si="6"/>
        <v>0</v>
      </c>
      <c r="AA77" s="308"/>
      <c r="AB77" s="315"/>
      <c r="AC77" s="261">
        <v>26</v>
      </c>
      <c r="AD77" s="308"/>
      <c r="AE77" s="262"/>
      <c r="AF77" s="308"/>
      <c r="AG77" s="391"/>
      <c r="AH77" s="392"/>
      <c r="AI77" s="391"/>
      <c r="AJ77" s="392"/>
      <c r="AK77" s="391"/>
      <c r="AL77" s="392"/>
      <c r="AM77" s="391"/>
      <c r="AN77" s="400"/>
      <c r="AO77" s="392"/>
      <c r="AP77" s="391"/>
      <c r="AQ77" s="392"/>
      <c r="AR77" s="391"/>
      <c r="AS77" s="392"/>
      <c r="AT77" s="308"/>
      <c r="AU77" s="263">
        <f t="shared" si="5"/>
        <v>0</v>
      </c>
      <c r="AV77" s="327"/>
      <c r="AW77" s="264">
        <f t="shared" si="10"/>
        <v>5000</v>
      </c>
      <c r="AX77" s="308"/>
      <c r="AY77" s="265">
        <f t="shared" si="7"/>
        <v>0</v>
      </c>
      <c r="AZ77" s="308"/>
      <c r="BA77" s="300"/>
      <c r="BB77" s="206"/>
      <c r="BC77" s="206"/>
      <c r="BD77" s="206"/>
    </row>
    <row r="78" spans="1:56" customFormat="1" x14ac:dyDescent="0.2">
      <c r="A78" s="301"/>
      <c r="B78" s="308"/>
      <c r="C78" s="308"/>
      <c r="D78" s="268">
        <v>27</v>
      </c>
      <c r="E78" s="308"/>
      <c r="F78" s="266"/>
      <c r="G78" s="308"/>
      <c r="H78" s="393"/>
      <c r="I78" s="394"/>
      <c r="J78" s="393"/>
      <c r="K78" s="394"/>
      <c r="L78" s="393"/>
      <c r="M78" s="394"/>
      <c r="N78" s="393"/>
      <c r="O78" s="401"/>
      <c r="P78" s="394"/>
      <c r="Q78" s="393"/>
      <c r="R78" s="394"/>
      <c r="S78" s="393"/>
      <c r="T78" s="394"/>
      <c r="U78" s="308"/>
      <c r="V78" s="267">
        <f t="shared" si="8"/>
        <v>0</v>
      </c>
      <c r="W78" s="327"/>
      <c r="X78" s="264">
        <f t="shared" si="9"/>
        <v>3000</v>
      </c>
      <c r="Y78" s="308"/>
      <c r="Z78" s="265">
        <f t="shared" si="6"/>
        <v>0</v>
      </c>
      <c r="AA78" s="308"/>
      <c r="AB78" s="315"/>
      <c r="AC78" s="268">
        <v>27</v>
      </c>
      <c r="AD78" s="308"/>
      <c r="AE78" s="266"/>
      <c r="AF78" s="308"/>
      <c r="AG78" s="393"/>
      <c r="AH78" s="394"/>
      <c r="AI78" s="393"/>
      <c r="AJ78" s="394"/>
      <c r="AK78" s="393"/>
      <c r="AL78" s="394"/>
      <c r="AM78" s="393"/>
      <c r="AN78" s="401"/>
      <c r="AO78" s="394"/>
      <c r="AP78" s="393"/>
      <c r="AQ78" s="394"/>
      <c r="AR78" s="393"/>
      <c r="AS78" s="394"/>
      <c r="AT78" s="308"/>
      <c r="AU78" s="267">
        <f t="shared" si="5"/>
        <v>0</v>
      </c>
      <c r="AV78" s="327"/>
      <c r="AW78" s="264">
        <f t="shared" si="10"/>
        <v>5000</v>
      </c>
      <c r="AX78" s="308"/>
      <c r="AY78" s="265">
        <f t="shared" si="7"/>
        <v>0</v>
      </c>
      <c r="AZ78" s="308"/>
      <c r="BA78" s="300"/>
      <c r="BB78" s="206"/>
      <c r="BC78" s="206"/>
      <c r="BD78" s="206"/>
    </row>
    <row r="79" spans="1:56" customFormat="1" x14ac:dyDescent="0.2">
      <c r="A79" s="301"/>
      <c r="B79" s="308"/>
      <c r="C79" s="308"/>
      <c r="D79" s="268">
        <v>28</v>
      </c>
      <c r="E79" s="308"/>
      <c r="F79" s="262"/>
      <c r="G79" s="308"/>
      <c r="H79" s="391"/>
      <c r="I79" s="392"/>
      <c r="J79" s="391"/>
      <c r="K79" s="392"/>
      <c r="L79" s="391"/>
      <c r="M79" s="392"/>
      <c r="N79" s="391"/>
      <c r="O79" s="400"/>
      <c r="P79" s="392"/>
      <c r="Q79" s="391"/>
      <c r="R79" s="392"/>
      <c r="S79" s="391"/>
      <c r="T79" s="392"/>
      <c r="U79" s="308"/>
      <c r="V79" s="263">
        <f t="shared" si="8"/>
        <v>0</v>
      </c>
      <c r="W79" s="327"/>
      <c r="X79" s="264">
        <f t="shared" si="9"/>
        <v>3000</v>
      </c>
      <c r="Y79" s="308"/>
      <c r="Z79" s="265">
        <f t="shared" si="6"/>
        <v>0</v>
      </c>
      <c r="AA79" s="308"/>
      <c r="AB79" s="315"/>
      <c r="AC79" s="268">
        <v>28</v>
      </c>
      <c r="AD79" s="308"/>
      <c r="AE79" s="262"/>
      <c r="AF79" s="308"/>
      <c r="AG79" s="391"/>
      <c r="AH79" s="392"/>
      <c r="AI79" s="391"/>
      <c r="AJ79" s="392"/>
      <c r="AK79" s="391"/>
      <c r="AL79" s="392"/>
      <c r="AM79" s="391"/>
      <c r="AN79" s="400"/>
      <c r="AO79" s="392"/>
      <c r="AP79" s="391"/>
      <c r="AQ79" s="392"/>
      <c r="AR79" s="391"/>
      <c r="AS79" s="392"/>
      <c r="AT79" s="308"/>
      <c r="AU79" s="263">
        <f t="shared" si="5"/>
        <v>0</v>
      </c>
      <c r="AV79" s="327"/>
      <c r="AW79" s="264">
        <f t="shared" si="10"/>
        <v>5000</v>
      </c>
      <c r="AX79" s="308"/>
      <c r="AY79" s="265">
        <f t="shared" si="7"/>
        <v>0</v>
      </c>
      <c r="AZ79" s="308"/>
      <c r="BA79" s="300"/>
      <c r="BB79" s="206"/>
      <c r="BC79" s="206"/>
      <c r="BD79" s="206"/>
    </row>
    <row r="80" spans="1:56" customFormat="1" x14ac:dyDescent="0.2">
      <c r="A80" s="301"/>
      <c r="B80" s="308"/>
      <c r="C80" s="308"/>
      <c r="D80" s="261">
        <v>29</v>
      </c>
      <c r="E80" s="308"/>
      <c r="F80" s="266"/>
      <c r="G80" s="308"/>
      <c r="H80" s="393"/>
      <c r="I80" s="394"/>
      <c r="J80" s="393"/>
      <c r="K80" s="394"/>
      <c r="L80" s="393"/>
      <c r="M80" s="394"/>
      <c r="N80" s="393"/>
      <c r="O80" s="401"/>
      <c r="P80" s="394"/>
      <c r="Q80" s="393"/>
      <c r="R80" s="394"/>
      <c r="S80" s="393"/>
      <c r="T80" s="394"/>
      <c r="U80" s="308"/>
      <c r="V80" s="267">
        <f t="shared" si="8"/>
        <v>0</v>
      </c>
      <c r="W80" s="327"/>
      <c r="X80" s="264">
        <f t="shared" si="9"/>
        <v>3000</v>
      </c>
      <c r="Y80" s="308"/>
      <c r="Z80" s="265">
        <f t="shared" si="6"/>
        <v>0</v>
      </c>
      <c r="AA80" s="308"/>
      <c r="AB80" s="315"/>
      <c r="AC80" s="261">
        <v>29</v>
      </c>
      <c r="AD80" s="308"/>
      <c r="AE80" s="266"/>
      <c r="AF80" s="308"/>
      <c r="AG80" s="393"/>
      <c r="AH80" s="394"/>
      <c r="AI80" s="393"/>
      <c r="AJ80" s="394"/>
      <c r="AK80" s="393"/>
      <c r="AL80" s="394"/>
      <c r="AM80" s="393"/>
      <c r="AN80" s="401"/>
      <c r="AO80" s="394"/>
      <c r="AP80" s="393"/>
      <c r="AQ80" s="394"/>
      <c r="AR80" s="393"/>
      <c r="AS80" s="394"/>
      <c r="AT80" s="308"/>
      <c r="AU80" s="267">
        <f t="shared" si="5"/>
        <v>0</v>
      </c>
      <c r="AV80" s="327"/>
      <c r="AW80" s="264">
        <f t="shared" si="10"/>
        <v>5000</v>
      </c>
      <c r="AX80" s="308"/>
      <c r="AY80" s="265">
        <f t="shared" si="7"/>
        <v>0</v>
      </c>
      <c r="AZ80" s="308"/>
      <c r="BA80" s="300"/>
      <c r="BB80" s="206"/>
      <c r="BC80" s="206"/>
      <c r="BD80" s="206"/>
    </row>
    <row r="81" spans="1:56" customFormat="1" x14ac:dyDescent="0.2">
      <c r="A81" s="301"/>
      <c r="B81" s="308"/>
      <c r="C81" s="308"/>
      <c r="D81" s="261">
        <v>30</v>
      </c>
      <c r="E81" s="308"/>
      <c r="F81" s="262"/>
      <c r="G81" s="308"/>
      <c r="H81" s="391"/>
      <c r="I81" s="392"/>
      <c r="J81" s="391"/>
      <c r="K81" s="392"/>
      <c r="L81" s="391"/>
      <c r="M81" s="392"/>
      <c r="N81" s="391"/>
      <c r="O81" s="400"/>
      <c r="P81" s="392"/>
      <c r="Q81" s="391"/>
      <c r="R81" s="392"/>
      <c r="S81" s="391"/>
      <c r="T81" s="392"/>
      <c r="U81" s="308"/>
      <c r="V81" s="263">
        <f t="shared" si="8"/>
        <v>0</v>
      </c>
      <c r="W81" s="327"/>
      <c r="X81" s="264">
        <f t="shared" si="9"/>
        <v>3000</v>
      </c>
      <c r="Y81" s="308"/>
      <c r="Z81" s="265">
        <f t="shared" si="6"/>
        <v>0</v>
      </c>
      <c r="AA81" s="308"/>
      <c r="AB81" s="315"/>
      <c r="AC81" s="261">
        <v>30</v>
      </c>
      <c r="AD81" s="308"/>
      <c r="AE81" s="262"/>
      <c r="AF81" s="308"/>
      <c r="AG81" s="391"/>
      <c r="AH81" s="392"/>
      <c r="AI81" s="391"/>
      <c r="AJ81" s="392"/>
      <c r="AK81" s="391"/>
      <c r="AL81" s="392"/>
      <c r="AM81" s="391"/>
      <c r="AN81" s="400"/>
      <c r="AO81" s="392"/>
      <c r="AP81" s="391"/>
      <c r="AQ81" s="392"/>
      <c r="AR81" s="391"/>
      <c r="AS81" s="392"/>
      <c r="AT81" s="308"/>
      <c r="AU81" s="263">
        <f t="shared" si="5"/>
        <v>0</v>
      </c>
      <c r="AV81" s="327"/>
      <c r="AW81" s="264">
        <f t="shared" si="10"/>
        <v>5000</v>
      </c>
      <c r="AX81" s="308"/>
      <c r="AY81" s="265">
        <f t="shared" si="7"/>
        <v>0</v>
      </c>
      <c r="AZ81" s="308"/>
      <c r="BA81" s="300"/>
      <c r="BB81" s="206"/>
      <c r="BC81" s="206"/>
      <c r="BD81" s="206"/>
    </row>
    <row r="82" spans="1:56" customFormat="1" x14ac:dyDescent="0.2">
      <c r="A82" s="301"/>
      <c r="B82" s="308"/>
      <c r="C82" s="308"/>
      <c r="D82" s="261">
        <v>31</v>
      </c>
      <c r="E82" s="308"/>
      <c r="F82" s="266"/>
      <c r="G82" s="308"/>
      <c r="H82" s="393"/>
      <c r="I82" s="394"/>
      <c r="J82" s="393"/>
      <c r="K82" s="394"/>
      <c r="L82" s="393"/>
      <c r="M82" s="394"/>
      <c r="N82" s="393"/>
      <c r="O82" s="401"/>
      <c r="P82" s="394"/>
      <c r="Q82" s="393"/>
      <c r="R82" s="394"/>
      <c r="S82" s="393"/>
      <c r="T82" s="394"/>
      <c r="U82" s="308"/>
      <c r="V82" s="267">
        <f t="shared" si="8"/>
        <v>0</v>
      </c>
      <c r="W82" s="327"/>
      <c r="X82" s="264">
        <f t="shared" si="9"/>
        <v>3000</v>
      </c>
      <c r="Y82" s="308"/>
      <c r="Z82" s="265">
        <f t="shared" si="6"/>
        <v>0</v>
      </c>
      <c r="AA82" s="308"/>
      <c r="AB82" s="315"/>
      <c r="AC82" s="261">
        <v>31</v>
      </c>
      <c r="AD82" s="308"/>
      <c r="AE82" s="266"/>
      <c r="AF82" s="308"/>
      <c r="AG82" s="393"/>
      <c r="AH82" s="394"/>
      <c r="AI82" s="393"/>
      <c r="AJ82" s="394"/>
      <c r="AK82" s="393"/>
      <c r="AL82" s="394"/>
      <c r="AM82" s="393"/>
      <c r="AN82" s="401"/>
      <c r="AO82" s="394"/>
      <c r="AP82" s="393"/>
      <c r="AQ82" s="394"/>
      <c r="AR82" s="393"/>
      <c r="AS82" s="394"/>
      <c r="AT82" s="308"/>
      <c r="AU82" s="267">
        <f t="shared" si="5"/>
        <v>0</v>
      </c>
      <c r="AV82" s="327"/>
      <c r="AW82" s="264">
        <f t="shared" si="10"/>
        <v>5000</v>
      </c>
      <c r="AX82" s="308"/>
      <c r="AY82" s="265">
        <f t="shared" si="7"/>
        <v>0</v>
      </c>
      <c r="AZ82" s="308"/>
      <c r="BA82" s="300"/>
      <c r="BB82" s="206"/>
      <c r="BC82" s="206"/>
      <c r="BD82" s="206"/>
    </row>
    <row r="83" spans="1:56" customFormat="1" x14ac:dyDescent="0.2">
      <c r="A83" s="301"/>
      <c r="B83" s="308"/>
      <c r="C83" s="308"/>
      <c r="D83" s="268">
        <v>32</v>
      </c>
      <c r="E83" s="308"/>
      <c r="F83" s="262"/>
      <c r="G83" s="308"/>
      <c r="H83" s="391"/>
      <c r="I83" s="392"/>
      <c r="J83" s="391"/>
      <c r="K83" s="392"/>
      <c r="L83" s="391"/>
      <c r="M83" s="392"/>
      <c r="N83" s="391"/>
      <c r="O83" s="400"/>
      <c r="P83" s="392"/>
      <c r="Q83" s="391"/>
      <c r="R83" s="392"/>
      <c r="S83" s="391"/>
      <c r="T83" s="392"/>
      <c r="U83" s="308"/>
      <c r="V83" s="263">
        <f t="shared" si="8"/>
        <v>0</v>
      </c>
      <c r="W83" s="327"/>
      <c r="X83" s="264">
        <f t="shared" si="9"/>
        <v>3000</v>
      </c>
      <c r="Y83" s="308"/>
      <c r="Z83" s="265">
        <f t="shared" si="6"/>
        <v>0</v>
      </c>
      <c r="AA83" s="308"/>
      <c r="AB83" s="315"/>
      <c r="AC83" s="268">
        <v>32</v>
      </c>
      <c r="AD83" s="308"/>
      <c r="AE83" s="262"/>
      <c r="AF83" s="308"/>
      <c r="AG83" s="391"/>
      <c r="AH83" s="392"/>
      <c r="AI83" s="391"/>
      <c r="AJ83" s="392"/>
      <c r="AK83" s="391"/>
      <c r="AL83" s="392"/>
      <c r="AM83" s="391"/>
      <c r="AN83" s="400"/>
      <c r="AO83" s="392"/>
      <c r="AP83" s="391"/>
      <c r="AQ83" s="392"/>
      <c r="AR83" s="391"/>
      <c r="AS83" s="392"/>
      <c r="AT83" s="308"/>
      <c r="AU83" s="263">
        <f t="shared" si="5"/>
        <v>0</v>
      </c>
      <c r="AV83" s="327"/>
      <c r="AW83" s="264">
        <f t="shared" si="10"/>
        <v>5000</v>
      </c>
      <c r="AX83" s="308"/>
      <c r="AY83" s="265">
        <f t="shared" si="7"/>
        <v>0</v>
      </c>
      <c r="AZ83" s="308"/>
      <c r="BA83" s="300"/>
      <c r="BB83" s="206"/>
      <c r="BC83" s="206"/>
      <c r="BD83" s="206"/>
    </row>
    <row r="84" spans="1:56" customFormat="1" x14ac:dyDescent="0.2">
      <c r="A84" s="301"/>
      <c r="B84" s="308"/>
      <c r="C84" s="308"/>
      <c r="D84" s="268">
        <v>33</v>
      </c>
      <c r="E84" s="308"/>
      <c r="F84" s="266"/>
      <c r="G84" s="308"/>
      <c r="H84" s="393"/>
      <c r="I84" s="394"/>
      <c r="J84" s="393"/>
      <c r="K84" s="394"/>
      <c r="L84" s="393"/>
      <c r="M84" s="394"/>
      <c r="N84" s="393"/>
      <c r="O84" s="401"/>
      <c r="P84" s="394"/>
      <c r="Q84" s="393"/>
      <c r="R84" s="394"/>
      <c r="S84" s="393"/>
      <c r="T84" s="394"/>
      <c r="U84" s="308"/>
      <c r="V84" s="267">
        <f t="shared" si="8"/>
        <v>0</v>
      </c>
      <c r="W84" s="327"/>
      <c r="X84" s="264">
        <f t="shared" si="9"/>
        <v>3000</v>
      </c>
      <c r="Y84" s="308"/>
      <c r="Z84" s="265">
        <f t="shared" si="6"/>
        <v>0</v>
      </c>
      <c r="AA84" s="308"/>
      <c r="AB84" s="315"/>
      <c r="AC84" s="268">
        <v>33</v>
      </c>
      <c r="AD84" s="308"/>
      <c r="AE84" s="266"/>
      <c r="AF84" s="308"/>
      <c r="AG84" s="393"/>
      <c r="AH84" s="394"/>
      <c r="AI84" s="393"/>
      <c r="AJ84" s="394"/>
      <c r="AK84" s="393"/>
      <c r="AL84" s="394"/>
      <c r="AM84" s="393"/>
      <c r="AN84" s="401"/>
      <c r="AO84" s="394"/>
      <c r="AP84" s="393"/>
      <c r="AQ84" s="394"/>
      <c r="AR84" s="393"/>
      <c r="AS84" s="394"/>
      <c r="AT84" s="308"/>
      <c r="AU84" s="267">
        <f t="shared" si="5"/>
        <v>0</v>
      </c>
      <c r="AV84" s="327"/>
      <c r="AW84" s="264">
        <f t="shared" si="10"/>
        <v>5000</v>
      </c>
      <c r="AX84" s="308"/>
      <c r="AY84" s="265">
        <f t="shared" si="7"/>
        <v>0</v>
      </c>
      <c r="AZ84" s="308"/>
      <c r="BA84" s="300"/>
      <c r="BB84" s="206"/>
      <c r="BC84" s="206"/>
      <c r="BD84" s="206"/>
    </row>
    <row r="85" spans="1:56" customFormat="1" x14ac:dyDescent="0.2">
      <c r="A85" s="301"/>
      <c r="B85" s="308"/>
      <c r="C85" s="308"/>
      <c r="D85" s="268">
        <v>34</v>
      </c>
      <c r="E85" s="308"/>
      <c r="F85" s="262"/>
      <c r="G85" s="308"/>
      <c r="H85" s="391"/>
      <c r="I85" s="392"/>
      <c r="J85" s="391"/>
      <c r="K85" s="392"/>
      <c r="L85" s="391"/>
      <c r="M85" s="392"/>
      <c r="N85" s="391"/>
      <c r="O85" s="400"/>
      <c r="P85" s="392"/>
      <c r="Q85" s="391"/>
      <c r="R85" s="392"/>
      <c r="S85" s="391"/>
      <c r="T85" s="392"/>
      <c r="U85" s="308"/>
      <c r="V85" s="263">
        <f t="shared" si="8"/>
        <v>0</v>
      </c>
      <c r="W85" s="327"/>
      <c r="X85" s="264">
        <f t="shared" si="9"/>
        <v>3000</v>
      </c>
      <c r="Y85" s="308"/>
      <c r="Z85" s="265">
        <f t="shared" si="6"/>
        <v>0</v>
      </c>
      <c r="AA85" s="308"/>
      <c r="AB85" s="315"/>
      <c r="AC85" s="268">
        <v>34</v>
      </c>
      <c r="AD85" s="308"/>
      <c r="AE85" s="262"/>
      <c r="AF85" s="308"/>
      <c r="AG85" s="391"/>
      <c r="AH85" s="392"/>
      <c r="AI85" s="391"/>
      <c r="AJ85" s="392"/>
      <c r="AK85" s="391"/>
      <c r="AL85" s="392"/>
      <c r="AM85" s="391"/>
      <c r="AN85" s="400"/>
      <c r="AO85" s="392"/>
      <c r="AP85" s="391"/>
      <c r="AQ85" s="392"/>
      <c r="AR85" s="391"/>
      <c r="AS85" s="392"/>
      <c r="AT85" s="308"/>
      <c r="AU85" s="263">
        <f t="shared" si="5"/>
        <v>0</v>
      </c>
      <c r="AV85" s="327"/>
      <c r="AW85" s="264">
        <f t="shared" si="10"/>
        <v>5000</v>
      </c>
      <c r="AX85" s="308"/>
      <c r="AY85" s="265">
        <f t="shared" si="7"/>
        <v>0</v>
      </c>
      <c r="AZ85" s="308"/>
      <c r="BA85" s="300"/>
      <c r="BB85" s="206"/>
      <c r="BC85" s="206"/>
      <c r="BD85" s="206"/>
    </row>
    <row r="86" spans="1:56" customFormat="1" x14ac:dyDescent="0.2">
      <c r="A86" s="301"/>
      <c r="B86" s="308"/>
      <c r="C86" s="308"/>
      <c r="D86" s="268">
        <v>35</v>
      </c>
      <c r="E86" s="308"/>
      <c r="F86" s="266"/>
      <c r="G86" s="308"/>
      <c r="H86" s="393"/>
      <c r="I86" s="394"/>
      <c r="J86" s="393"/>
      <c r="K86" s="394"/>
      <c r="L86" s="393"/>
      <c r="M86" s="394"/>
      <c r="N86" s="393"/>
      <c r="O86" s="401"/>
      <c r="P86" s="394"/>
      <c r="Q86" s="393"/>
      <c r="R86" s="394"/>
      <c r="S86" s="393"/>
      <c r="T86" s="394"/>
      <c r="U86" s="308"/>
      <c r="V86" s="267">
        <f t="shared" si="8"/>
        <v>0</v>
      </c>
      <c r="W86" s="327"/>
      <c r="X86" s="264">
        <f t="shared" si="9"/>
        <v>3000</v>
      </c>
      <c r="Y86" s="308"/>
      <c r="Z86" s="265">
        <f t="shared" si="6"/>
        <v>0</v>
      </c>
      <c r="AA86" s="308"/>
      <c r="AB86" s="315"/>
      <c r="AC86" s="268">
        <v>35</v>
      </c>
      <c r="AD86" s="308"/>
      <c r="AE86" s="266"/>
      <c r="AF86" s="308"/>
      <c r="AG86" s="393"/>
      <c r="AH86" s="394"/>
      <c r="AI86" s="393"/>
      <c r="AJ86" s="394"/>
      <c r="AK86" s="393"/>
      <c r="AL86" s="394"/>
      <c r="AM86" s="393"/>
      <c r="AN86" s="401"/>
      <c r="AO86" s="394"/>
      <c r="AP86" s="393"/>
      <c r="AQ86" s="394"/>
      <c r="AR86" s="393"/>
      <c r="AS86" s="394"/>
      <c r="AT86" s="308"/>
      <c r="AU86" s="267">
        <f t="shared" si="5"/>
        <v>0</v>
      </c>
      <c r="AV86" s="327"/>
      <c r="AW86" s="264">
        <f t="shared" si="10"/>
        <v>5000</v>
      </c>
      <c r="AX86" s="308"/>
      <c r="AY86" s="265">
        <f t="shared" si="7"/>
        <v>0</v>
      </c>
      <c r="AZ86" s="308"/>
      <c r="BA86" s="300"/>
      <c r="BB86" s="206"/>
      <c r="BC86" s="206"/>
      <c r="BD86" s="206"/>
    </row>
    <row r="87" spans="1:56" customFormat="1" x14ac:dyDescent="0.2">
      <c r="A87" s="301"/>
      <c r="B87" s="308"/>
      <c r="C87" s="308"/>
      <c r="D87" s="268">
        <v>36</v>
      </c>
      <c r="E87" s="308"/>
      <c r="F87" s="262"/>
      <c r="G87" s="308"/>
      <c r="H87" s="391"/>
      <c r="I87" s="392"/>
      <c r="J87" s="391"/>
      <c r="K87" s="392"/>
      <c r="L87" s="391"/>
      <c r="M87" s="392"/>
      <c r="N87" s="391"/>
      <c r="O87" s="400"/>
      <c r="P87" s="392"/>
      <c r="Q87" s="391"/>
      <c r="R87" s="392"/>
      <c r="S87" s="391"/>
      <c r="T87" s="392"/>
      <c r="U87" s="308"/>
      <c r="V87" s="263">
        <f t="shared" si="8"/>
        <v>0</v>
      </c>
      <c r="W87" s="327"/>
      <c r="X87" s="264">
        <f t="shared" si="9"/>
        <v>3000</v>
      </c>
      <c r="Y87" s="308"/>
      <c r="Z87" s="265">
        <f t="shared" si="6"/>
        <v>0</v>
      </c>
      <c r="AA87" s="308"/>
      <c r="AB87" s="315"/>
      <c r="AC87" s="268">
        <v>36</v>
      </c>
      <c r="AD87" s="308"/>
      <c r="AE87" s="262"/>
      <c r="AF87" s="308"/>
      <c r="AG87" s="391"/>
      <c r="AH87" s="392"/>
      <c r="AI87" s="391"/>
      <c r="AJ87" s="392"/>
      <c r="AK87" s="391"/>
      <c r="AL87" s="392"/>
      <c r="AM87" s="391"/>
      <c r="AN87" s="400"/>
      <c r="AO87" s="392"/>
      <c r="AP87" s="391"/>
      <c r="AQ87" s="392"/>
      <c r="AR87" s="391"/>
      <c r="AS87" s="392"/>
      <c r="AT87" s="308"/>
      <c r="AU87" s="263">
        <f t="shared" si="5"/>
        <v>0</v>
      </c>
      <c r="AV87" s="327"/>
      <c r="AW87" s="264">
        <f t="shared" si="10"/>
        <v>5000</v>
      </c>
      <c r="AX87" s="308"/>
      <c r="AY87" s="265">
        <f t="shared" si="7"/>
        <v>0</v>
      </c>
      <c r="AZ87" s="308"/>
      <c r="BA87" s="300"/>
      <c r="BB87" s="206"/>
      <c r="BC87" s="206"/>
      <c r="BD87" s="206"/>
    </row>
    <row r="88" spans="1:56" customFormat="1" x14ac:dyDescent="0.2">
      <c r="A88" s="301"/>
      <c r="B88" s="308"/>
      <c r="C88" s="308"/>
      <c r="D88" s="268">
        <v>37</v>
      </c>
      <c r="E88" s="308"/>
      <c r="F88" s="266"/>
      <c r="G88" s="308"/>
      <c r="H88" s="393"/>
      <c r="I88" s="394"/>
      <c r="J88" s="393"/>
      <c r="K88" s="394"/>
      <c r="L88" s="393"/>
      <c r="M88" s="394"/>
      <c r="N88" s="393"/>
      <c r="O88" s="401"/>
      <c r="P88" s="394"/>
      <c r="Q88" s="393"/>
      <c r="R88" s="394"/>
      <c r="S88" s="393"/>
      <c r="T88" s="394"/>
      <c r="U88" s="308"/>
      <c r="V88" s="267">
        <f t="shared" si="8"/>
        <v>0</v>
      </c>
      <c r="W88" s="327"/>
      <c r="X88" s="264">
        <f t="shared" si="9"/>
        <v>3000</v>
      </c>
      <c r="Y88" s="308"/>
      <c r="Z88" s="265">
        <f t="shared" si="6"/>
        <v>0</v>
      </c>
      <c r="AA88" s="308"/>
      <c r="AB88" s="315"/>
      <c r="AC88" s="268">
        <v>37</v>
      </c>
      <c r="AD88" s="308"/>
      <c r="AE88" s="266"/>
      <c r="AF88" s="308"/>
      <c r="AG88" s="393"/>
      <c r="AH88" s="394"/>
      <c r="AI88" s="393"/>
      <c r="AJ88" s="394"/>
      <c r="AK88" s="393"/>
      <c r="AL88" s="394"/>
      <c r="AM88" s="393"/>
      <c r="AN88" s="401"/>
      <c r="AO88" s="394"/>
      <c r="AP88" s="393"/>
      <c r="AQ88" s="394"/>
      <c r="AR88" s="393"/>
      <c r="AS88" s="394"/>
      <c r="AT88" s="308"/>
      <c r="AU88" s="267">
        <f t="shared" si="5"/>
        <v>0</v>
      </c>
      <c r="AV88" s="327"/>
      <c r="AW88" s="264">
        <f t="shared" si="10"/>
        <v>5000</v>
      </c>
      <c r="AX88" s="308"/>
      <c r="AY88" s="265">
        <f t="shared" si="7"/>
        <v>0</v>
      </c>
      <c r="AZ88" s="308"/>
      <c r="BA88" s="300"/>
      <c r="BB88" s="206"/>
      <c r="BC88" s="206"/>
      <c r="BD88" s="206"/>
    </row>
    <row r="89" spans="1:56" customFormat="1" x14ac:dyDescent="0.2">
      <c r="A89" s="301"/>
      <c r="B89" s="308"/>
      <c r="C89" s="308"/>
      <c r="D89" s="261">
        <v>38</v>
      </c>
      <c r="E89" s="308"/>
      <c r="F89" s="262"/>
      <c r="G89" s="308"/>
      <c r="H89" s="391"/>
      <c r="I89" s="392"/>
      <c r="J89" s="391"/>
      <c r="K89" s="392"/>
      <c r="L89" s="391"/>
      <c r="M89" s="392"/>
      <c r="N89" s="391"/>
      <c r="O89" s="400"/>
      <c r="P89" s="392"/>
      <c r="Q89" s="391"/>
      <c r="R89" s="392"/>
      <c r="S89" s="391"/>
      <c r="T89" s="392"/>
      <c r="U89" s="308"/>
      <c r="V89" s="263">
        <f t="shared" si="8"/>
        <v>0</v>
      </c>
      <c r="W89" s="327"/>
      <c r="X89" s="264">
        <f t="shared" si="9"/>
        <v>3000</v>
      </c>
      <c r="Y89" s="308"/>
      <c r="Z89" s="265">
        <f t="shared" si="6"/>
        <v>0</v>
      </c>
      <c r="AA89" s="308"/>
      <c r="AB89" s="315"/>
      <c r="AC89" s="261">
        <v>38</v>
      </c>
      <c r="AD89" s="308"/>
      <c r="AE89" s="262"/>
      <c r="AF89" s="308"/>
      <c r="AG89" s="391"/>
      <c r="AH89" s="392"/>
      <c r="AI89" s="391"/>
      <c r="AJ89" s="392"/>
      <c r="AK89" s="391"/>
      <c r="AL89" s="392"/>
      <c r="AM89" s="391"/>
      <c r="AN89" s="400"/>
      <c r="AO89" s="392"/>
      <c r="AP89" s="391"/>
      <c r="AQ89" s="392"/>
      <c r="AR89" s="391"/>
      <c r="AS89" s="392"/>
      <c r="AT89" s="308"/>
      <c r="AU89" s="263">
        <f t="shared" si="5"/>
        <v>0</v>
      </c>
      <c r="AV89" s="327"/>
      <c r="AW89" s="264">
        <f t="shared" si="10"/>
        <v>5000</v>
      </c>
      <c r="AX89" s="308"/>
      <c r="AY89" s="265">
        <f t="shared" si="7"/>
        <v>0</v>
      </c>
      <c r="AZ89" s="308"/>
      <c r="BA89" s="300"/>
      <c r="BB89" s="206"/>
      <c r="BC89" s="206"/>
      <c r="BD89" s="206"/>
    </row>
    <row r="90" spans="1:56" customFormat="1" x14ac:dyDescent="0.2">
      <c r="A90" s="301"/>
      <c r="B90" s="308"/>
      <c r="C90" s="308"/>
      <c r="D90" s="261">
        <v>39</v>
      </c>
      <c r="E90" s="308"/>
      <c r="F90" s="266"/>
      <c r="G90" s="308"/>
      <c r="H90" s="393"/>
      <c r="I90" s="394"/>
      <c r="J90" s="393"/>
      <c r="K90" s="394"/>
      <c r="L90" s="393"/>
      <c r="M90" s="394"/>
      <c r="N90" s="393"/>
      <c r="O90" s="401"/>
      <c r="P90" s="394"/>
      <c r="Q90" s="393"/>
      <c r="R90" s="394"/>
      <c r="S90" s="393"/>
      <c r="T90" s="394"/>
      <c r="U90" s="308"/>
      <c r="V90" s="267">
        <f t="shared" si="8"/>
        <v>0</v>
      </c>
      <c r="W90" s="327"/>
      <c r="X90" s="264">
        <f t="shared" si="9"/>
        <v>3000</v>
      </c>
      <c r="Y90" s="308"/>
      <c r="Z90" s="265">
        <f t="shared" si="6"/>
        <v>0</v>
      </c>
      <c r="AA90" s="308"/>
      <c r="AB90" s="315"/>
      <c r="AC90" s="261">
        <v>39</v>
      </c>
      <c r="AD90" s="308"/>
      <c r="AE90" s="266"/>
      <c r="AF90" s="308"/>
      <c r="AG90" s="393"/>
      <c r="AH90" s="394"/>
      <c r="AI90" s="393"/>
      <c r="AJ90" s="394"/>
      <c r="AK90" s="393"/>
      <c r="AL90" s="394"/>
      <c r="AM90" s="393"/>
      <c r="AN90" s="401"/>
      <c r="AO90" s="394"/>
      <c r="AP90" s="393"/>
      <c r="AQ90" s="394"/>
      <c r="AR90" s="393"/>
      <c r="AS90" s="394"/>
      <c r="AT90" s="308"/>
      <c r="AU90" s="267">
        <f t="shared" si="5"/>
        <v>0</v>
      </c>
      <c r="AV90" s="327"/>
      <c r="AW90" s="264">
        <f t="shared" si="10"/>
        <v>5000</v>
      </c>
      <c r="AX90" s="308"/>
      <c r="AY90" s="265">
        <f t="shared" si="7"/>
        <v>0</v>
      </c>
      <c r="AZ90" s="308"/>
      <c r="BA90" s="300"/>
      <c r="BB90" s="206"/>
      <c r="BC90" s="206"/>
      <c r="BD90" s="206"/>
    </row>
    <row r="91" spans="1:56" customFormat="1" x14ac:dyDescent="0.2">
      <c r="A91" s="301"/>
      <c r="B91" s="308"/>
      <c r="C91" s="308"/>
      <c r="D91" s="261">
        <v>40</v>
      </c>
      <c r="E91" s="308"/>
      <c r="F91" s="262"/>
      <c r="G91" s="308"/>
      <c r="H91" s="391"/>
      <c r="I91" s="392"/>
      <c r="J91" s="391"/>
      <c r="K91" s="392"/>
      <c r="L91" s="391"/>
      <c r="M91" s="392"/>
      <c r="N91" s="391"/>
      <c r="O91" s="400"/>
      <c r="P91" s="392"/>
      <c r="Q91" s="391"/>
      <c r="R91" s="392"/>
      <c r="S91" s="391"/>
      <c r="T91" s="392"/>
      <c r="U91" s="308"/>
      <c r="V91" s="263">
        <f t="shared" si="8"/>
        <v>0</v>
      </c>
      <c r="W91" s="327"/>
      <c r="X91" s="264">
        <f t="shared" si="9"/>
        <v>3000</v>
      </c>
      <c r="Y91" s="308"/>
      <c r="Z91" s="265">
        <f t="shared" si="6"/>
        <v>0</v>
      </c>
      <c r="AA91" s="308"/>
      <c r="AB91" s="315"/>
      <c r="AC91" s="261">
        <v>40</v>
      </c>
      <c r="AD91" s="308"/>
      <c r="AE91" s="262"/>
      <c r="AF91" s="308"/>
      <c r="AG91" s="391"/>
      <c r="AH91" s="392"/>
      <c r="AI91" s="391"/>
      <c r="AJ91" s="392"/>
      <c r="AK91" s="391"/>
      <c r="AL91" s="392"/>
      <c r="AM91" s="391"/>
      <c r="AN91" s="400"/>
      <c r="AO91" s="392"/>
      <c r="AP91" s="391"/>
      <c r="AQ91" s="392"/>
      <c r="AR91" s="391"/>
      <c r="AS91" s="392"/>
      <c r="AT91" s="308"/>
      <c r="AU91" s="263">
        <f t="shared" si="5"/>
        <v>0</v>
      </c>
      <c r="AV91" s="327"/>
      <c r="AW91" s="264">
        <f t="shared" si="10"/>
        <v>5000</v>
      </c>
      <c r="AX91" s="308"/>
      <c r="AY91" s="265">
        <f t="shared" si="7"/>
        <v>0</v>
      </c>
      <c r="AZ91" s="308"/>
      <c r="BA91" s="300"/>
      <c r="BB91" s="206"/>
      <c r="BC91" s="206"/>
      <c r="BD91" s="206"/>
    </row>
    <row r="92" spans="1:56" customFormat="1" x14ac:dyDescent="0.2">
      <c r="A92" s="301"/>
      <c r="B92" s="308"/>
      <c r="C92" s="308"/>
      <c r="D92" s="261">
        <v>41</v>
      </c>
      <c r="E92" s="308"/>
      <c r="F92" s="266"/>
      <c r="G92" s="308"/>
      <c r="H92" s="393"/>
      <c r="I92" s="394"/>
      <c r="J92" s="393"/>
      <c r="K92" s="394"/>
      <c r="L92" s="393"/>
      <c r="M92" s="394"/>
      <c r="N92" s="393"/>
      <c r="O92" s="401"/>
      <c r="P92" s="394"/>
      <c r="Q92" s="393"/>
      <c r="R92" s="394"/>
      <c r="S92" s="393"/>
      <c r="T92" s="394"/>
      <c r="U92" s="308"/>
      <c r="V92" s="267">
        <f t="shared" si="8"/>
        <v>0</v>
      </c>
      <c r="W92" s="327"/>
      <c r="X92" s="264">
        <f t="shared" si="9"/>
        <v>3000</v>
      </c>
      <c r="Y92" s="308"/>
      <c r="Z92" s="265">
        <f t="shared" si="6"/>
        <v>0</v>
      </c>
      <c r="AA92" s="308"/>
      <c r="AB92" s="315"/>
      <c r="AC92" s="261">
        <v>41</v>
      </c>
      <c r="AD92" s="308"/>
      <c r="AE92" s="266"/>
      <c r="AF92" s="308"/>
      <c r="AG92" s="393"/>
      <c r="AH92" s="394"/>
      <c r="AI92" s="393"/>
      <c r="AJ92" s="394"/>
      <c r="AK92" s="393"/>
      <c r="AL92" s="394"/>
      <c r="AM92" s="393"/>
      <c r="AN92" s="401"/>
      <c r="AO92" s="394"/>
      <c r="AP92" s="393"/>
      <c r="AQ92" s="394"/>
      <c r="AR92" s="393"/>
      <c r="AS92" s="394"/>
      <c r="AT92" s="308"/>
      <c r="AU92" s="267">
        <f t="shared" si="5"/>
        <v>0</v>
      </c>
      <c r="AV92" s="327"/>
      <c r="AW92" s="264">
        <f t="shared" si="10"/>
        <v>5000</v>
      </c>
      <c r="AX92" s="308"/>
      <c r="AY92" s="265">
        <f t="shared" si="7"/>
        <v>0</v>
      </c>
      <c r="AZ92" s="308"/>
      <c r="BA92" s="300"/>
      <c r="BB92" s="206"/>
      <c r="BC92" s="206"/>
      <c r="BD92" s="206"/>
    </row>
    <row r="93" spans="1:56" customFormat="1" x14ac:dyDescent="0.2">
      <c r="A93" s="301"/>
      <c r="B93" s="308"/>
      <c r="C93" s="308"/>
      <c r="D93" s="261">
        <v>42</v>
      </c>
      <c r="E93" s="308"/>
      <c r="F93" s="262"/>
      <c r="G93" s="308"/>
      <c r="H93" s="391"/>
      <c r="I93" s="392"/>
      <c r="J93" s="391"/>
      <c r="K93" s="392"/>
      <c r="L93" s="391"/>
      <c r="M93" s="392"/>
      <c r="N93" s="391"/>
      <c r="O93" s="400"/>
      <c r="P93" s="392"/>
      <c r="Q93" s="391"/>
      <c r="R93" s="392"/>
      <c r="S93" s="391"/>
      <c r="T93" s="392"/>
      <c r="U93" s="308"/>
      <c r="V93" s="263">
        <f t="shared" si="8"/>
        <v>0</v>
      </c>
      <c r="W93" s="327"/>
      <c r="X93" s="264">
        <f t="shared" si="9"/>
        <v>3000</v>
      </c>
      <c r="Y93" s="308"/>
      <c r="Z93" s="265">
        <f t="shared" si="6"/>
        <v>0</v>
      </c>
      <c r="AA93" s="308"/>
      <c r="AB93" s="315"/>
      <c r="AC93" s="261">
        <v>42</v>
      </c>
      <c r="AD93" s="308"/>
      <c r="AE93" s="262"/>
      <c r="AF93" s="308"/>
      <c r="AG93" s="391"/>
      <c r="AH93" s="392"/>
      <c r="AI93" s="391"/>
      <c r="AJ93" s="392"/>
      <c r="AK93" s="391"/>
      <c r="AL93" s="392"/>
      <c r="AM93" s="391"/>
      <c r="AN93" s="400"/>
      <c r="AO93" s="392"/>
      <c r="AP93" s="391"/>
      <c r="AQ93" s="392"/>
      <c r="AR93" s="391"/>
      <c r="AS93" s="392"/>
      <c r="AT93" s="308"/>
      <c r="AU93" s="263">
        <f t="shared" si="5"/>
        <v>0</v>
      </c>
      <c r="AV93" s="327"/>
      <c r="AW93" s="264">
        <f t="shared" si="10"/>
        <v>5000</v>
      </c>
      <c r="AX93" s="308"/>
      <c r="AY93" s="265">
        <f t="shared" si="7"/>
        <v>0</v>
      </c>
      <c r="AZ93" s="308"/>
      <c r="BA93" s="300"/>
      <c r="BB93" s="206"/>
      <c r="BC93" s="206"/>
      <c r="BD93" s="206"/>
    </row>
    <row r="94" spans="1:56" customFormat="1" x14ac:dyDescent="0.2">
      <c r="A94" s="301"/>
      <c r="B94" s="308"/>
      <c r="C94" s="308"/>
      <c r="D94" s="261">
        <v>43</v>
      </c>
      <c r="E94" s="308"/>
      <c r="F94" s="266"/>
      <c r="G94" s="308"/>
      <c r="H94" s="393"/>
      <c r="I94" s="394"/>
      <c r="J94" s="393"/>
      <c r="K94" s="394"/>
      <c r="L94" s="393"/>
      <c r="M94" s="394"/>
      <c r="N94" s="393"/>
      <c r="O94" s="401"/>
      <c r="P94" s="394"/>
      <c r="Q94" s="393"/>
      <c r="R94" s="394"/>
      <c r="S94" s="393"/>
      <c r="T94" s="394"/>
      <c r="U94" s="308"/>
      <c r="V94" s="267">
        <f t="shared" si="8"/>
        <v>0</v>
      </c>
      <c r="W94" s="327"/>
      <c r="X94" s="264">
        <f t="shared" si="9"/>
        <v>3000</v>
      </c>
      <c r="Y94" s="308"/>
      <c r="Z94" s="265">
        <f t="shared" si="6"/>
        <v>0</v>
      </c>
      <c r="AA94" s="308"/>
      <c r="AB94" s="315"/>
      <c r="AC94" s="261">
        <v>43</v>
      </c>
      <c r="AD94" s="308"/>
      <c r="AE94" s="266"/>
      <c r="AF94" s="308"/>
      <c r="AG94" s="393"/>
      <c r="AH94" s="394"/>
      <c r="AI94" s="393"/>
      <c r="AJ94" s="394"/>
      <c r="AK94" s="393"/>
      <c r="AL94" s="394"/>
      <c r="AM94" s="393"/>
      <c r="AN94" s="401"/>
      <c r="AO94" s="394"/>
      <c r="AP94" s="393"/>
      <c r="AQ94" s="394"/>
      <c r="AR94" s="393"/>
      <c r="AS94" s="394"/>
      <c r="AT94" s="308"/>
      <c r="AU94" s="267">
        <f t="shared" si="5"/>
        <v>0</v>
      </c>
      <c r="AV94" s="327"/>
      <c r="AW94" s="264">
        <f t="shared" si="10"/>
        <v>5000</v>
      </c>
      <c r="AX94" s="308"/>
      <c r="AY94" s="265">
        <f t="shared" si="7"/>
        <v>0</v>
      </c>
      <c r="AZ94" s="308"/>
      <c r="BA94" s="300"/>
      <c r="BB94" s="206"/>
      <c r="BC94" s="206"/>
      <c r="BD94" s="206"/>
    </row>
    <row r="95" spans="1:56" customFormat="1" x14ac:dyDescent="0.2">
      <c r="A95" s="301"/>
      <c r="B95" s="308"/>
      <c r="C95" s="308"/>
      <c r="D95" s="261">
        <v>44</v>
      </c>
      <c r="E95" s="308"/>
      <c r="F95" s="262"/>
      <c r="G95" s="308"/>
      <c r="H95" s="391"/>
      <c r="I95" s="392"/>
      <c r="J95" s="391"/>
      <c r="K95" s="392"/>
      <c r="L95" s="391"/>
      <c r="M95" s="392"/>
      <c r="N95" s="391"/>
      <c r="O95" s="400"/>
      <c r="P95" s="392"/>
      <c r="Q95" s="391"/>
      <c r="R95" s="392"/>
      <c r="S95" s="391"/>
      <c r="T95" s="392"/>
      <c r="U95" s="308"/>
      <c r="V95" s="263">
        <f t="shared" si="8"/>
        <v>0</v>
      </c>
      <c r="W95" s="327"/>
      <c r="X95" s="264">
        <f t="shared" si="9"/>
        <v>3000</v>
      </c>
      <c r="Y95" s="308"/>
      <c r="Z95" s="265">
        <f t="shared" si="6"/>
        <v>0</v>
      </c>
      <c r="AA95" s="308"/>
      <c r="AB95" s="315"/>
      <c r="AC95" s="261">
        <v>44</v>
      </c>
      <c r="AD95" s="308"/>
      <c r="AE95" s="262"/>
      <c r="AF95" s="308"/>
      <c r="AG95" s="391"/>
      <c r="AH95" s="392"/>
      <c r="AI95" s="391"/>
      <c r="AJ95" s="392"/>
      <c r="AK95" s="391"/>
      <c r="AL95" s="392"/>
      <c r="AM95" s="391"/>
      <c r="AN95" s="400"/>
      <c r="AO95" s="392"/>
      <c r="AP95" s="391"/>
      <c r="AQ95" s="392"/>
      <c r="AR95" s="391"/>
      <c r="AS95" s="392"/>
      <c r="AT95" s="308"/>
      <c r="AU95" s="263">
        <f t="shared" si="5"/>
        <v>0</v>
      </c>
      <c r="AV95" s="327"/>
      <c r="AW95" s="264">
        <f t="shared" si="10"/>
        <v>5000</v>
      </c>
      <c r="AX95" s="308"/>
      <c r="AY95" s="265">
        <f t="shared" si="7"/>
        <v>0</v>
      </c>
      <c r="AZ95" s="308"/>
      <c r="BA95" s="300"/>
      <c r="BB95" s="206"/>
      <c r="BC95" s="206"/>
      <c r="BD95" s="206"/>
    </row>
    <row r="96" spans="1:56" customFormat="1" x14ac:dyDescent="0.2">
      <c r="A96" s="301"/>
      <c r="B96" s="308"/>
      <c r="C96" s="308"/>
      <c r="D96" s="261">
        <v>45</v>
      </c>
      <c r="E96" s="308"/>
      <c r="F96" s="266"/>
      <c r="G96" s="308"/>
      <c r="H96" s="393"/>
      <c r="I96" s="394"/>
      <c r="J96" s="393"/>
      <c r="K96" s="394"/>
      <c r="L96" s="393"/>
      <c r="M96" s="394"/>
      <c r="N96" s="393"/>
      <c r="O96" s="401"/>
      <c r="P96" s="394"/>
      <c r="Q96" s="393"/>
      <c r="R96" s="394"/>
      <c r="S96" s="393"/>
      <c r="T96" s="394"/>
      <c r="U96" s="308"/>
      <c r="V96" s="267">
        <f t="shared" si="8"/>
        <v>0</v>
      </c>
      <c r="W96" s="327"/>
      <c r="X96" s="264">
        <f t="shared" ref="X96:X118" si="11">X95+V96</f>
        <v>3000</v>
      </c>
      <c r="Y96" s="308"/>
      <c r="Z96" s="265">
        <f t="shared" si="6"/>
        <v>0</v>
      </c>
      <c r="AA96" s="308"/>
      <c r="AB96" s="315"/>
      <c r="AC96" s="261">
        <v>45</v>
      </c>
      <c r="AD96" s="308"/>
      <c r="AE96" s="266"/>
      <c r="AF96" s="308"/>
      <c r="AG96" s="393"/>
      <c r="AH96" s="394"/>
      <c r="AI96" s="393"/>
      <c r="AJ96" s="394"/>
      <c r="AK96" s="393"/>
      <c r="AL96" s="394"/>
      <c r="AM96" s="393"/>
      <c r="AN96" s="401"/>
      <c r="AO96" s="394"/>
      <c r="AP96" s="393"/>
      <c r="AQ96" s="394"/>
      <c r="AR96" s="393"/>
      <c r="AS96" s="394"/>
      <c r="AT96" s="308"/>
      <c r="AU96" s="267">
        <f t="shared" si="5"/>
        <v>0</v>
      </c>
      <c r="AV96" s="327"/>
      <c r="AW96" s="264">
        <f t="shared" si="10"/>
        <v>5000</v>
      </c>
      <c r="AX96" s="308"/>
      <c r="AY96" s="265">
        <f t="shared" si="7"/>
        <v>0</v>
      </c>
      <c r="AZ96" s="308"/>
      <c r="BA96" s="300"/>
      <c r="BB96" s="206"/>
      <c r="BC96" s="206"/>
      <c r="BD96" s="206"/>
    </row>
    <row r="97" spans="1:56" customFormat="1" x14ac:dyDescent="0.2">
      <c r="A97" s="301"/>
      <c r="B97" s="308"/>
      <c r="C97" s="308"/>
      <c r="D97" s="261">
        <v>46</v>
      </c>
      <c r="E97" s="308"/>
      <c r="F97" s="262"/>
      <c r="G97" s="308"/>
      <c r="H97" s="391"/>
      <c r="I97" s="392"/>
      <c r="J97" s="391"/>
      <c r="K97" s="392"/>
      <c r="L97" s="391"/>
      <c r="M97" s="392"/>
      <c r="N97" s="391"/>
      <c r="O97" s="400"/>
      <c r="P97" s="392"/>
      <c r="Q97" s="391"/>
      <c r="R97" s="392"/>
      <c r="S97" s="391"/>
      <c r="T97" s="392"/>
      <c r="U97" s="308"/>
      <c r="V97" s="263">
        <f t="shared" si="8"/>
        <v>0</v>
      </c>
      <c r="W97" s="327"/>
      <c r="X97" s="264">
        <f t="shared" si="11"/>
        <v>3000</v>
      </c>
      <c r="Y97" s="308"/>
      <c r="Z97" s="265">
        <f t="shared" si="6"/>
        <v>0</v>
      </c>
      <c r="AA97" s="308"/>
      <c r="AB97" s="315"/>
      <c r="AC97" s="261">
        <v>46</v>
      </c>
      <c r="AD97" s="308"/>
      <c r="AE97" s="262"/>
      <c r="AF97" s="308"/>
      <c r="AG97" s="391"/>
      <c r="AH97" s="392"/>
      <c r="AI97" s="391"/>
      <c r="AJ97" s="392"/>
      <c r="AK97" s="391"/>
      <c r="AL97" s="392"/>
      <c r="AM97" s="391"/>
      <c r="AN97" s="400"/>
      <c r="AO97" s="392"/>
      <c r="AP97" s="391"/>
      <c r="AQ97" s="392"/>
      <c r="AR97" s="391"/>
      <c r="AS97" s="392"/>
      <c r="AT97" s="308"/>
      <c r="AU97" s="263">
        <f t="shared" si="5"/>
        <v>0</v>
      </c>
      <c r="AV97" s="327"/>
      <c r="AW97" s="264">
        <f t="shared" si="10"/>
        <v>5000</v>
      </c>
      <c r="AX97" s="308"/>
      <c r="AY97" s="265">
        <f t="shared" si="7"/>
        <v>0</v>
      </c>
      <c r="AZ97" s="308"/>
      <c r="BA97" s="300"/>
      <c r="BB97" s="206"/>
      <c r="BC97" s="206"/>
      <c r="BD97" s="206"/>
    </row>
    <row r="98" spans="1:56" customFormat="1" x14ac:dyDescent="0.2">
      <c r="A98" s="301"/>
      <c r="B98" s="308"/>
      <c r="C98" s="308"/>
      <c r="D98" s="261">
        <v>47</v>
      </c>
      <c r="E98" s="308"/>
      <c r="F98" s="266"/>
      <c r="G98" s="308"/>
      <c r="H98" s="393"/>
      <c r="I98" s="394"/>
      <c r="J98" s="393"/>
      <c r="K98" s="394"/>
      <c r="L98" s="393"/>
      <c r="M98" s="394"/>
      <c r="N98" s="393"/>
      <c r="O98" s="401"/>
      <c r="P98" s="394"/>
      <c r="Q98" s="393"/>
      <c r="R98" s="394"/>
      <c r="S98" s="393"/>
      <c r="T98" s="394"/>
      <c r="U98" s="308"/>
      <c r="V98" s="267">
        <f t="shared" si="8"/>
        <v>0</v>
      </c>
      <c r="W98" s="327"/>
      <c r="X98" s="264">
        <f t="shared" si="11"/>
        <v>3000</v>
      </c>
      <c r="Y98" s="308"/>
      <c r="Z98" s="265">
        <f t="shared" si="6"/>
        <v>0</v>
      </c>
      <c r="AA98" s="308"/>
      <c r="AB98" s="315"/>
      <c r="AC98" s="261">
        <v>47</v>
      </c>
      <c r="AD98" s="308"/>
      <c r="AE98" s="266"/>
      <c r="AF98" s="308"/>
      <c r="AG98" s="393"/>
      <c r="AH98" s="394"/>
      <c r="AI98" s="393"/>
      <c r="AJ98" s="394"/>
      <c r="AK98" s="393"/>
      <c r="AL98" s="394"/>
      <c r="AM98" s="393"/>
      <c r="AN98" s="401"/>
      <c r="AO98" s="394"/>
      <c r="AP98" s="393"/>
      <c r="AQ98" s="394"/>
      <c r="AR98" s="393"/>
      <c r="AS98" s="394"/>
      <c r="AT98" s="308"/>
      <c r="AU98" s="267">
        <f t="shared" si="5"/>
        <v>0</v>
      </c>
      <c r="AV98" s="327"/>
      <c r="AW98" s="264">
        <f t="shared" si="10"/>
        <v>5000</v>
      </c>
      <c r="AX98" s="308"/>
      <c r="AY98" s="265">
        <f t="shared" si="7"/>
        <v>0</v>
      </c>
      <c r="AZ98" s="308"/>
      <c r="BA98" s="300"/>
      <c r="BB98" s="206"/>
      <c r="BC98" s="206"/>
      <c r="BD98" s="206"/>
    </row>
    <row r="99" spans="1:56" customFormat="1" x14ac:dyDescent="0.2">
      <c r="A99" s="301"/>
      <c r="B99" s="308"/>
      <c r="C99" s="308"/>
      <c r="D99" s="261">
        <v>48</v>
      </c>
      <c r="E99" s="308"/>
      <c r="F99" s="262"/>
      <c r="G99" s="308"/>
      <c r="H99" s="391"/>
      <c r="I99" s="392"/>
      <c r="J99" s="391"/>
      <c r="K99" s="392"/>
      <c r="L99" s="391"/>
      <c r="M99" s="392"/>
      <c r="N99" s="391"/>
      <c r="O99" s="400"/>
      <c r="P99" s="392"/>
      <c r="Q99" s="391"/>
      <c r="R99" s="392"/>
      <c r="S99" s="391"/>
      <c r="T99" s="392"/>
      <c r="U99" s="308"/>
      <c r="V99" s="263">
        <f t="shared" si="8"/>
        <v>0</v>
      </c>
      <c r="W99" s="327"/>
      <c r="X99" s="264">
        <f t="shared" si="11"/>
        <v>3000</v>
      </c>
      <c r="Y99" s="308"/>
      <c r="Z99" s="265">
        <f t="shared" si="6"/>
        <v>0</v>
      </c>
      <c r="AA99" s="308"/>
      <c r="AB99" s="315"/>
      <c r="AC99" s="261">
        <v>48</v>
      </c>
      <c r="AD99" s="308"/>
      <c r="AE99" s="262"/>
      <c r="AF99" s="308"/>
      <c r="AG99" s="391"/>
      <c r="AH99" s="392"/>
      <c r="AI99" s="391"/>
      <c r="AJ99" s="392"/>
      <c r="AK99" s="391"/>
      <c r="AL99" s="392"/>
      <c r="AM99" s="391"/>
      <c r="AN99" s="400"/>
      <c r="AO99" s="392"/>
      <c r="AP99" s="391"/>
      <c r="AQ99" s="392"/>
      <c r="AR99" s="391"/>
      <c r="AS99" s="392"/>
      <c r="AT99" s="308"/>
      <c r="AU99" s="263">
        <f t="shared" si="5"/>
        <v>0</v>
      </c>
      <c r="AV99" s="327"/>
      <c r="AW99" s="264">
        <f t="shared" si="10"/>
        <v>5000</v>
      </c>
      <c r="AX99" s="308"/>
      <c r="AY99" s="265">
        <f t="shared" si="7"/>
        <v>0</v>
      </c>
      <c r="AZ99" s="308"/>
      <c r="BA99" s="300"/>
      <c r="BB99" s="206"/>
      <c r="BC99" s="206"/>
      <c r="BD99" s="206"/>
    </row>
    <row r="100" spans="1:56" customFormat="1" x14ac:dyDescent="0.2">
      <c r="A100" s="301"/>
      <c r="B100" s="308"/>
      <c r="C100" s="308"/>
      <c r="D100" s="261">
        <v>49</v>
      </c>
      <c r="E100" s="308"/>
      <c r="F100" s="266"/>
      <c r="G100" s="308"/>
      <c r="H100" s="393"/>
      <c r="I100" s="394"/>
      <c r="J100" s="393"/>
      <c r="K100" s="394"/>
      <c r="L100" s="393"/>
      <c r="M100" s="394"/>
      <c r="N100" s="393"/>
      <c r="O100" s="401"/>
      <c r="P100" s="394"/>
      <c r="Q100" s="393"/>
      <c r="R100" s="394"/>
      <c r="S100" s="393"/>
      <c r="T100" s="394"/>
      <c r="U100" s="308"/>
      <c r="V100" s="267">
        <f t="shared" si="8"/>
        <v>0</v>
      </c>
      <c r="W100" s="327"/>
      <c r="X100" s="264">
        <f t="shared" si="11"/>
        <v>3000</v>
      </c>
      <c r="Y100" s="308"/>
      <c r="Z100" s="265">
        <f t="shared" si="6"/>
        <v>0</v>
      </c>
      <c r="AA100" s="308"/>
      <c r="AB100" s="315"/>
      <c r="AC100" s="261">
        <v>49</v>
      </c>
      <c r="AD100" s="308"/>
      <c r="AE100" s="266"/>
      <c r="AF100" s="308"/>
      <c r="AG100" s="393"/>
      <c r="AH100" s="394"/>
      <c r="AI100" s="393"/>
      <c r="AJ100" s="394"/>
      <c r="AK100" s="393"/>
      <c r="AL100" s="394"/>
      <c r="AM100" s="393"/>
      <c r="AN100" s="401"/>
      <c r="AO100" s="394"/>
      <c r="AP100" s="393"/>
      <c r="AQ100" s="394"/>
      <c r="AR100" s="393"/>
      <c r="AS100" s="394"/>
      <c r="AT100" s="308"/>
      <c r="AU100" s="267">
        <f t="shared" si="5"/>
        <v>0</v>
      </c>
      <c r="AV100" s="327"/>
      <c r="AW100" s="264">
        <f t="shared" si="10"/>
        <v>5000</v>
      </c>
      <c r="AX100" s="308"/>
      <c r="AY100" s="265">
        <f t="shared" si="7"/>
        <v>0</v>
      </c>
      <c r="AZ100" s="308"/>
      <c r="BA100" s="300"/>
      <c r="BB100" s="206"/>
      <c r="BC100" s="206"/>
      <c r="BD100" s="206"/>
    </row>
    <row r="101" spans="1:56" customFormat="1" x14ac:dyDescent="0.2">
      <c r="A101" s="301"/>
      <c r="B101" s="308"/>
      <c r="C101" s="308"/>
      <c r="D101" s="261">
        <v>50</v>
      </c>
      <c r="E101" s="308"/>
      <c r="F101" s="262"/>
      <c r="G101" s="308"/>
      <c r="H101" s="391"/>
      <c r="I101" s="392"/>
      <c r="J101" s="391"/>
      <c r="K101" s="392"/>
      <c r="L101" s="391"/>
      <c r="M101" s="392"/>
      <c r="N101" s="391"/>
      <c r="O101" s="400"/>
      <c r="P101" s="392"/>
      <c r="Q101" s="391"/>
      <c r="R101" s="392"/>
      <c r="S101" s="391"/>
      <c r="T101" s="392"/>
      <c r="U101" s="308"/>
      <c r="V101" s="263">
        <f t="shared" si="8"/>
        <v>0</v>
      </c>
      <c r="W101" s="327"/>
      <c r="X101" s="264">
        <f t="shared" si="11"/>
        <v>3000</v>
      </c>
      <c r="Y101" s="308"/>
      <c r="Z101" s="265">
        <f t="shared" si="6"/>
        <v>0</v>
      </c>
      <c r="AA101" s="308"/>
      <c r="AB101" s="315"/>
      <c r="AC101" s="261">
        <v>50</v>
      </c>
      <c r="AD101" s="308"/>
      <c r="AE101" s="262"/>
      <c r="AF101" s="308"/>
      <c r="AG101" s="391"/>
      <c r="AH101" s="392"/>
      <c r="AI101" s="391"/>
      <c r="AJ101" s="392"/>
      <c r="AK101" s="391"/>
      <c r="AL101" s="392"/>
      <c r="AM101" s="391"/>
      <c r="AN101" s="400"/>
      <c r="AO101" s="392"/>
      <c r="AP101" s="391"/>
      <c r="AQ101" s="392"/>
      <c r="AR101" s="391"/>
      <c r="AS101" s="392"/>
      <c r="AT101" s="308"/>
      <c r="AU101" s="263">
        <f t="shared" si="5"/>
        <v>0</v>
      </c>
      <c r="AV101" s="327"/>
      <c r="AW101" s="264">
        <f t="shared" si="10"/>
        <v>5000</v>
      </c>
      <c r="AX101" s="308"/>
      <c r="AY101" s="265">
        <f t="shared" si="7"/>
        <v>0</v>
      </c>
      <c r="AZ101" s="308"/>
      <c r="BA101" s="300"/>
      <c r="BB101" s="206"/>
      <c r="BC101" s="206"/>
      <c r="BD101" s="206"/>
    </row>
    <row r="102" spans="1:56" customFormat="1" x14ac:dyDescent="0.2">
      <c r="A102" s="301"/>
      <c r="B102" s="308"/>
      <c r="C102" s="308"/>
      <c r="D102" s="261">
        <v>51</v>
      </c>
      <c r="E102" s="308"/>
      <c r="F102" s="266"/>
      <c r="G102" s="308"/>
      <c r="H102" s="393"/>
      <c r="I102" s="394"/>
      <c r="J102" s="393"/>
      <c r="K102" s="394"/>
      <c r="L102" s="393"/>
      <c r="M102" s="394"/>
      <c r="N102" s="393"/>
      <c r="O102" s="401"/>
      <c r="P102" s="394"/>
      <c r="Q102" s="393"/>
      <c r="R102" s="394"/>
      <c r="S102" s="393"/>
      <c r="T102" s="394"/>
      <c r="U102" s="308"/>
      <c r="V102" s="267">
        <f t="shared" si="8"/>
        <v>0</v>
      </c>
      <c r="W102" s="327"/>
      <c r="X102" s="264">
        <f t="shared" si="11"/>
        <v>3000</v>
      </c>
      <c r="Y102" s="308"/>
      <c r="Z102" s="265">
        <f t="shared" si="6"/>
        <v>0</v>
      </c>
      <c r="AA102" s="308"/>
      <c r="AB102" s="315"/>
      <c r="AC102" s="261">
        <v>51</v>
      </c>
      <c r="AD102" s="308"/>
      <c r="AE102" s="266"/>
      <c r="AF102" s="308"/>
      <c r="AG102" s="393"/>
      <c r="AH102" s="394"/>
      <c r="AI102" s="393"/>
      <c r="AJ102" s="394"/>
      <c r="AK102" s="393"/>
      <c r="AL102" s="394"/>
      <c r="AM102" s="393"/>
      <c r="AN102" s="401"/>
      <c r="AO102" s="394"/>
      <c r="AP102" s="393"/>
      <c r="AQ102" s="394"/>
      <c r="AR102" s="393"/>
      <c r="AS102" s="394"/>
      <c r="AT102" s="308"/>
      <c r="AU102" s="267">
        <f t="shared" si="5"/>
        <v>0</v>
      </c>
      <c r="AV102" s="327"/>
      <c r="AW102" s="264">
        <f t="shared" si="10"/>
        <v>5000</v>
      </c>
      <c r="AX102" s="308"/>
      <c r="AY102" s="265">
        <f t="shared" si="7"/>
        <v>0</v>
      </c>
      <c r="AZ102" s="308"/>
      <c r="BA102" s="300"/>
      <c r="BB102" s="206"/>
      <c r="BC102" s="206"/>
      <c r="BD102" s="206"/>
    </row>
    <row r="103" spans="1:56" customFormat="1" x14ac:dyDescent="0.2">
      <c r="A103" s="301"/>
      <c r="B103" s="308"/>
      <c r="C103" s="308"/>
      <c r="D103" s="261">
        <v>52</v>
      </c>
      <c r="E103" s="308"/>
      <c r="F103" s="262"/>
      <c r="G103" s="308"/>
      <c r="H103" s="391"/>
      <c r="I103" s="392"/>
      <c r="J103" s="391"/>
      <c r="K103" s="392"/>
      <c r="L103" s="391"/>
      <c r="M103" s="392"/>
      <c r="N103" s="391"/>
      <c r="O103" s="400"/>
      <c r="P103" s="392"/>
      <c r="Q103" s="391"/>
      <c r="R103" s="392"/>
      <c r="S103" s="391"/>
      <c r="T103" s="392"/>
      <c r="U103" s="308"/>
      <c r="V103" s="263">
        <f t="shared" si="8"/>
        <v>0</v>
      </c>
      <c r="W103" s="327"/>
      <c r="X103" s="264">
        <f t="shared" si="11"/>
        <v>3000</v>
      </c>
      <c r="Y103" s="308"/>
      <c r="Z103" s="265">
        <f t="shared" si="6"/>
        <v>0</v>
      </c>
      <c r="AA103" s="308"/>
      <c r="AB103" s="315"/>
      <c r="AC103" s="261">
        <v>52</v>
      </c>
      <c r="AD103" s="308"/>
      <c r="AE103" s="262"/>
      <c r="AF103" s="308"/>
      <c r="AG103" s="391"/>
      <c r="AH103" s="392"/>
      <c r="AI103" s="391"/>
      <c r="AJ103" s="392"/>
      <c r="AK103" s="391"/>
      <c r="AL103" s="392"/>
      <c r="AM103" s="391"/>
      <c r="AN103" s="400"/>
      <c r="AO103" s="392"/>
      <c r="AP103" s="391"/>
      <c r="AQ103" s="392"/>
      <c r="AR103" s="391"/>
      <c r="AS103" s="392"/>
      <c r="AT103" s="308"/>
      <c r="AU103" s="263">
        <f t="shared" si="5"/>
        <v>0</v>
      </c>
      <c r="AV103" s="327"/>
      <c r="AW103" s="264">
        <f t="shared" si="10"/>
        <v>5000</v>
      </c>
      <c r="AX103" s="308"/>
      <c r="AY103" s="265">
        <f t="shared" si="7"/>
        <v>0</v>
      </c>
      <c r="AZ103" s="308"/>
      <c r="BA103" s="300"/>
      <c r="BB103" s="206"/>
      <c r="BC103" s="206"/>
      <c r="BD103" s="206"/>
    </row>
    <row r="104" spans="1:56" customFormat="1" x14ac:dyDescent="0.2">
      <c r="A104" s="301"/>
      <c r="B104" s="308"/>
      <c r="C104" s="308"/>
      <c r="D104" s="261">
        <v>53</v>
      </c>
      <c r="E104" s="308"/>
      <c r="F104" s="266"/>
      <c r="G104" s="308"/>
      <c r="H104" s="393"/>
      <c r="I104" s="394"/>
      <c r="J104" s="393"/>
      <c r="K104" s="394"/>
      <c r="L104" s="393"/>
      <c r="M104" s="394"/>
      <c r="N104" s="393"/>
      <c r="O104" s="401"/>
      <c r="P104" s="394"/>
      <c r="Q104" s="393"/>
      <c r="R104" s="394"/>
      <c r="S104" s="393"/>
      <c r="T104" s="394"/>
      <c r="U104" s="308"/>
      <c r="V104" s="267">
        <f t="shared" si="8"/>
        <v>0</v>
      </c>
      <c r="W104" s="327"/>
      <c r="X104" s="264">
        <f t="shared" si="11"/>
        <v>3000</v>
      </c>
      <c r="Y104" s="308"/>
      <c r="Z104" s="265">
        <f t="shared" si="6"/>
        <v>0</v>
      </c>
      <c r="AA104" s="308"/>
      <c r="AB104" s="315"/>
      <c r="AC104" s="261">
        <v>53</v>
      </c>
      <c r="AD104" s="308"/>
      <c r="AE104" s="266"/>
      <c r="AF104" s="308"/>
      <c r="AG104" s="393"/>
      <c r="AH104" s="394"/>
      <c r="AI104" s="393"/>
      <c r="AJ104" s="394"/>
      <c r="AK104" s="393"/>
      <c r="AL104" s="394"/>
      <c r="AM104" s="393"/>
      <c r="AN104" s="401"/>
      <c r="AO104" s="394"/>
      <c r="AP104" s="393"/>
      <c r="AQ104" s="394"/>
      <c r="AR104" s="393"/>
      <c r="AS104" s="394"/>
      <c r="AT104" s="308"/>
      <c r="AU104" s="267">
        <f t="shared" si="5"/>
        <v>0</v>
      </c>
      <c r="AV104" s="327"/>
      <c r="AW104" s="264">
        <f t="shared" si="10"/>
        <v>5000</v>
      </c>
      <c r="AX104" s="308"/>
      <c r="AY104" s="265">
        <f t="shared" si="7"/>
        <v>0</v>
      </c>
      <c r="AZ104" s="308"/>
      <c r="BA104" s="300"/>
      <c r="BB104" s="206"/>
      <c r="BC104" s="206"/>
      <c r="BD104" s="206"/>
    </row>
    <row r="105" spans="1:56" customFormat="1" x14ac:dyDescent="0.2">
      <c r="A105" s="301"/>
      <c r="B105" s="308"/>
      <c r="C105" s="308"/>
      <c r="D105" s="261">
        <v>54</v>
      </c>
      <c r="E105" s="308"/>
      <c r="F105" s="262"/>
      <c r="G105" s="308"/>
      <c r="H105" s="391"/>
      <c r="I105" s="392"/>
      <c r="J105" s="391"/>
      <c r="K105" s="392"/>
      <c r="L105" s="391"/>
      <c r="M105" s="392"/>
      <c r="N105" s="391"/>
      <c r="O105" s="400"/>
      <c r="P105" s="392"/>
      <c r="Q105" s="391"/>
      <c r="R105" s="392"/>
      <c r="S105" s="391"/>
      <c r="T105" s="392"/>
      <c r="U105" s="308"/>
      <c r="V105" s="263">
        <f t="shared" si="8"/>
        <v>0</v>
      </c>
      <c r="W105" s="327"/>
      <c r="X105" s="264">
        <f t="shared" si="11"/>
        <v>3000</v>
      </c>
      <c r="Y105" s="308"/>
      <c r="Z105" s="265">
        <f t="shared" si="6"/>
        <v>0</v>
      </c>
      <c r="AA105" s="308"/>
      <c r="AB105" s="315"/>
      <c r="AC105" s="261">
        <v>54</v>
      </c>
      <c r="AD105" s="308"/>
      <c r="AE105" s="262"/>
      <c r="AF105" s="308"/>
      <c r="AG105" s="391"/>
      <c r="AH105" s="392"/>
      <c r="AI105" s="391"/>
      <c r="AJ105" s="392"/>
      <c r="AK105" s="391"/>
      <c r="AL105" s="392"/>
      <c r="AM105" s="391"/>
      <c r="AN105" s="400"/>
      <c r="AO105" s="392"/>
      <c r="AP105" s="391"/>
      <c r="AQ105" s="392"/>
      <c r="AR105" s="391"/>
      <c r="AS105" s="392"/>
      <c r="AT105" s="308"/>
      <c r="AU105" s="263">
        <f t="shared" si="5"/>
        <v>0</v>
      </c>
      <c r="AV105" s="327"/>
      <c r="AW105" s="264">
        <f t="shared" si="10"/>
        <v>5000</v>
      </c>
      <c r="AX105" s="308"/>
      <c r="AY105" s="265">
        <f t="shared" si="7"/>
        <v>0</v>
      </c>
      <c r="AZ105" s="308"/>
      <c r="BA105" s="300"/>
      <c r="BB105" s="206"/>
      <c r="BC105" s="206"/>
      <c r="BD105" s="206"/>
    </row>
    <row r="106" spans="1:56" customFormat="1" x14ac:dyDescent="0.2">
      <c r="A106" s="301"/>
      <c r="B106" s="308"/>
      <c r="C106" s="308"/>
      <c r="D106" s="261">
        <v>55</v>
      </c>
      <c r="E106" s="308"/>
      <c r="F106" s="266"/>
      <c r="G106" s="308"/>
      <c r="H106" s="393"/>
      <c r="I106" s="394"/>
      <c r="J106" s="393"/>
      <c r="K106" s="394"/>
      <c r="L106" s="393"/>
      <c r="M106" s="394"/>
      <c r="N106" s="393"/>
      <c r="O106" s="401"/>
      <c r="P106" s="394"/>
      <c r="Q106" s="393"/>
      <c r="R106" s="394"/>
      <c r="S106" s="393"/>
      <c r="T106" s="394"/>
      <c r="U106" s="308"/>
      <c r="V106" s="267">
        <f t="shared" si="8"/>
        <v>0</v>
      </c>
      <c r="W106" s="327"/>
      <c r="X106" s="264">
        <f t="shared" si="11"/>
        <v>3000</v>
      </c>
      <c r="Y106" s="308"/>
      <c r="Z106" s="265">
        <f t="shared" si="6"/>
        <v>0</v>
      </c>
      <c r="AA106" s="308"/>
      <c r="AB106" s="315"/>
      <c r="AC106" s="261">
        <v>55</v>
      </c>
      <c r="AD106" s="308"/>
      <c r="AE106" s="266"/>
      <c r="AF106" s="308"/>
      <c r="AG106" s="393"/>
      <c r="AH106" s="394"/>
      <c r="AI106" s="393"/>
      <c r="AJ106" s="394"/>
      <c r="AK106" s="393"/>
      <c r="AL106" s="394"/>
      <c r="AM106" s="393"/>
      <c r="AN106" s="401"/>
      <c r="AO106" s="394"/>
      <c r="AP106" s="393"/>
      <c r="AQ106" s="394"/>
      <c r="AR106" s="393"/>
      <c r="AS106" s="394"/>
      <c r="AT106" s="308"/>
      <c r="AU106" s="267">
        <f t="shared" si="5"/>
        <v>0</v>
      </c>
      <c r="AV106" s="327"/>
      <c r="AW106" s="264">
        <f t="shared" si="10"/>
        <v>5000</v>
      </c>
      <c r="AX106" s="308"/>
      <c r="AY106" s="265">
        <f t="shared" si="7"/>
        <v>0</v>
      </c>
      <c r="AZ106" s="308"/>
      <c r="BA106" s="300"/>
      <c r="BB106" s="206"/>
      <c r="BC106" s="206"/>
      <c r="BD106" s="206"/>
    </row>
    <row r="107" spans="1:56" customFormat="1" x14ac:dyDescent="0.2">
      <c r="A107" s="301"/>
      <c r="B107" s="308"/>
      <c r="C107" s="308"/>
      <c r="D107" s="261">
        <v>56</v>
      </c>
      <c r="E107" s="308"/>
      <c r="F107" s="262"/>
      <c r="G107" s="308"/>
      <c r="H107" s="391"/>
      <c r="I107" s="392"/>
      <c r="J107" s="391"/>
      <c r="K107" s="392"/>
      <c r="L107" s="391"/>
      <c r="M107" s="392"/>
      <c r="N107" s="391"/>
      <c r="O107" s="400"/>
      <c r="P107" s="392"/>
      <c r="Q107" s="391"/>
      <c r="R107" s="392"/>
      <c r="S107" s="391"/>
      <c r="T107" s="392"/>
      <c r="U107" s="308"/>
      <c r="V107" s="263">
        <f t="shared" si="8"/>
        <v>0</v>
      </c>
      <c r="W107" s="327"/>
      <c r="X107" s="264">
        <f t="shared" si="11"/>
        <v>3000</v>
      </c>
      <c r="Y107" s="308"/>
      <c r="Z107" s="265">
        <f t="shared" si="6"/>
        <v>0</v>
      </c>
      <c r="AA107" s="308"/>
      <c r="AB107" s="315"/>
      <c r="AC107" s="261">
        <v>56</v>
      </c>
      <c r="AD107" s="308"/>
      <c r="AE107" s="262"/>
      <c r="AF107" s="308"/>
      <c r="AG107" s="391"/>
      <c r="AH107" s="392"/>
      <c r="AI107" s="391"/>
      <c r="AJ107" s="392"/>
      <c r="AK107" s="391"/>
      <c r="AL107" s="392"/>
      <c r="AM107" s="391"/>
      <c r="AN107" s="400"/>
      <c r="AO107" s="392"/>
      <c r="AP107" s="391"/>
      <c r="AQ107" s="392"/>
      <c r="AR107" s="391"/>
      <c r="AS107" s="392"/>
      <c r="AT107" s="308"/>
      <c r="AU107" s="263">
        <f t="shared" si="5"/>
        <v>0</v>
      </c>
      <c r="AV107" s="327"/>
      <c r="AW107" s="264">
        <f t="shared" si="10"/>
        <v>5000</v>
      </c>
      <c r="AX107" s="308"/>
      <c r="AY107" s="265">
        <f t="shared" si="7"/>
        <v>0</v>
      </c>
      <c r="AZ107" s="308"/>
      <c r="BA107" s="300"/>
      <c r="BB107" s="206"/>
      <c r="BC107" s="206"/>
      <c r="BD107" s="206"/>
    </row>
    <row r="108" spans="1:56" customFormat="1" x14ac:dyDescent="0.2">
      <c r="A108" s="301"/>
      <c r="B108" s="308"/>
      <c r="C108" s="308"/>
      <c r="D108" s="261">
        <v>57</v>
      </c>
      <c r="E108" s="308"/>
      <c r="F108" s="266"/>
      <c r="G108" s="308"/>
      <c r="H108" s="393"/>
      <c r="I108" s="394"/>
      <c r="J108" s="393"/>
      <c r="K108" s="394"/>
      <c r="L108" s="393"/>
      <c r="M108" s="394"/>
      <c r="N108" s="393"/>
      <c r="O108" s="401"/>
      <c r="P108" s="394"/>
      <c r="Q108" s="393"/>
      <c r="R108" s="394"/>
      <c r="S108" s="393"/>
      <c r="T108" s="394"/>
      <c r="U108" s="308"/>
      <c r="V108" s="267">
        <f t="shared" si="8"/>
        <v>0</v>
      </c>
      <c r="W108" s="327"/>
      <c r="X108" s="264">
        <f t="shared" si="11"/>
        <v>3000</v>
      </c>
      <c r="Y108" s="308"/>
      <c r="Z108" s="265">
        <f t="shared" si="6"/>
        <v>0</v>
      </c>
      <c r="AA108" s="308"/>
      <c r="AB108" s="315"/>
      <c r="AC108" s="261">
        <v>57</v>
      </c>
      <c r="AD108" s="308"/>
      <c r="AE108" s="266"/>
      <c r="AF108" s="308"/>
      <c r="AG108" s="393"/>
      <c r="AH108" s="394"/>
      <c r="AI108" s="393"/>
      <c r="AJ108" s="394"/>
      <c r="AK108" s="393"/>
      <c r="AL108" s="394"/>
      <c r="AM108" s="393"/>
      <c r="AN108" s="401"/>
      <c r="AO108" s="394"/>
      <c r="AP108" s="393"/>
      <c r="AQ108" s="394"/>
      <c r="AR108" s="393"/>
      <c r="AS108" s="394"/>
      <c r="AT108" s="308"/>
      <c r="AU108" s="267">
        <f t="shared" si="5"/>
        <v>0</v>
      </c>
      <c r="AV108" s="327"/>
      <c r="AW108" s="264">
        <f t="shared" si="10"/>
        <v>5000</v>
      </c>
      <c r="AX108" s="308"/>
      <c r="AY108" s="265">
        <f t="shared" si="7"/>
        <v>0</v>
      </c>
      <c r="AZ108" s="308"/>
      <c r="BA108" s="300"/>
      <c r="BB108" s="206"/>
      <c r="BC108" s="206"/>
      <c r="BD108" s="206"/>
    </row>
    <row r="109" spans="1:56" customFormat="1" x14ac:dyDescent="0.2">
      <c r="A109" s="301"/>
      <c r="B109" s="308"/>
      <c r="C109" s="308"/>
      <c r="D109" s="261">
        <v>58</v>
      </c>
      <c r="E109" s="308"/>
      <c r="F109" s="262"/>
      <c r="G109" s="308"/>
      <c r="H109" s="391"/>
      <c r="I109" s="392"/>
      <c r="J109" s="391"/>
      <c r="K109" s="392"/>
      <c r="L109" s="391"/>
      <c r="M109" s="392"/>
      <c r="N109" s="391"/>
      <c r="O109" s="400"/>
      <c r="P109" s="392"/>
      <c r="Q109" s="391"/>
      <c r="R109" s="392"/>
      <c r="S109" s="391"/>
      <c r="T109" s="392"/>
      <c r="U109" s="308"/>
      <c r="V109" s="263">
        <f t="shared" si="8"/>
        <v>0</v>
      </c>
      <c r="W109" s="327"/>
      <c r="X109" s="264">
        <f t="shared" si="11"/>
        <v>3000</v>
      </c>
      <c r="Y109" s="308"/>
      <c r="Z109" s="265">
        <f t="shared" si="6"/>
        <v>0</v>
      </c>
      <c r="AA109" s="308"/>
      <c r="AB109" s="315"/>
      <c r="AC109" s="261">
        <v>58</v>
      </c>
      <c r="AD109" s="308"/>
      <c r="AE109" s="262"/>
      <c r="AF109" s="308"/>
      <c r="AG109" s="391"/>
      <c r="AH109" s="392"/>
      <c r="AI109" s="391"/>
      <c r="AJ109" s="392"/>
      <c r="AK109" s="391"/>
      <c r="AL109" s="392"/>
      <c r="AM109" s="391"/>
      <c r="AN109" s="400"/>
      <c r="AO109" s="392"/>
      <c r="AP109" s="391"/>
      <c r="AQ109" s="392"/>
      <c r="AR109" s="391"/>
      <c r="AS109" s="392"/>
      <c r="AT109" s="308"/>
      <c r="AU109" s="263">
        <f t="shared" si="5"/>
        <v>0</v>
      </c>
      <c r="AV109" s="327"/>
      <c r="AW109" s="264">
        <f t="shared" si="10"/>
        <v>5000</v>
      </c>
      <c r="AX109" s="308"/>
      <c r="AY109" s="265">
        <f t="shared" si="7"/>
        <v>0</v>
      </c>
      <c r="AZ109" s="308"/>
      <c r="BA109" s="300"/>
      <c r="BB109" s="206"/>
      <c r="BC109" s="206"/>
      <c r="BD109" s="206"/>
    </row>
    <row r="110" spans="1:56" customFormat="1" x14ac:dyDescent="0.2">
      <c r="A110" s="301"/>
      <c r="B110" s="308"/>
      <c r="C110" s="308"/>
      <c r="D110" s="261">
        <v>59</v>
      </c>
      <c r="E110" s="308"/>
      <c r="F110" s="266"/>
      <c r="G110" s="308"/>
      <c r="H110" s="393"/>
      <c r="I110" s="394"/>
      <c r="J110" s="393"/>
      <c r="K110" s="394"/>
      <c r="L110" s="393"/>
      <c r="M110" s="394"/>
      <c r="N110" s="393"/>
      <c r="O110" s="401"/>
      <c r="P110" s="394"/>
      <c r="Q110" s="393"/>
      <c r="R110" s="394"/>
      <c r="S110" s="393"/>
      <c r="T110" s="394"/>
      <c r="U110" s="308"/>
      <c r="V110" s="267">
        <f t="shared" si="8"/>
        <v>0</v>
      </c>
      <c r="W110" s="327"/>
      <c r="X110" s="264">
        <f t="shared" si="11"/>
        <v>3000</v>
      </c>
      <c r="Y110" s="308"/>
      <c r="Z110" s="265">
        <f t="shared" si="6"/>
        <v>0</v>
      </c>
      <c r="AA110" s="308"/>
      <c r="AB110" s="315"/>
      <c r="AC110" s="261">
        <v>59</v>
      </c>
      <c r="AD110" s="308"/>
      <c r="AE110" s="266"/>
      <c r="AF110" s="308"/>
      <c r="AG110" s="393"/>
      <c r="AH110" s="394"/>
      <c r="AI110" s="393"/>
      <c r="AJ110" s="394"/>
      <c r="AK110" s="393"/>
      <c r="AL110" s="394"/>
      <c r="AM110" s="393"/>
      <c r="AN110" s="401"/>
      <c r="AO110" s="394"/>
      <c r="AP110" s="393"/>
      <c r="AQ110" s="394"/>
      <c r="AR110" s="393"/>
      <c r="AS110" s="394"/>
      <c r="AT110" s="308"/>
      <c r="AU110" s="267">
        <f t="shared" si="5"/>
        <v>0</v>
      </c>
      <c r="AV110" s="327"/>
      <c r="AW110" s="264">
        <f t="shared" si="10"/>
        <v>5000</v>
      </c>
      <c r="AX110" s="308"/>
      <c r="AY110" s="265">
        <f t="shared" si="7"/>
        <v>0</v>
      </c>
      <c r="AZ110" s="308"/>
      <c r="BA110" s="300"/>
      <c r="BB110" s="206"/>
      <c r="BC110" s="206"/>
      <c r="BD110" s="206"/>
    </row>
    <row r="111" spans="1:56" customFormat="1" x14ac:dyDescent="0.2">
      <c r="A111" s="301"/>
      <c r="B111" s="308"/>
      <c r="C111" s="308"/>
      <c r="D111" s="261">
        <v>60</v>
      </c>
      <c r="E111" s="308"/>
      <c r="F111" s="262"/>
      <c r="G111" s="308"/>
      <c r="H111" s="391"/>
      <c r="I111" s="392"/>
      <c r="J111" s="391"/>
      <c r="K111" s="392"/>
      <c r="L111" s="391"/>
      <c r="M111" s="392"/>
      <c r="N111" s="391"/>
      <c r="O111" s="400"/>
      <c r="P111" s="392"/>
      <c r="Q111" s="391"/>
      <c r="R111" s="392"/>
      <c r="S111" s="391"/>
      <c r="T111" s="392"/>
      <c r="U111" s="308"/>
      <c r="V111" s="263">
        <f t="shared" si="8"/>
        <v>0</v>
      </c>
      <c r="W111" s="327"/>
      <c r="X111" s="264">
        <f t="shared" si="11"/>
        <v>3000</v>
      </c>
      <c r="Y111" s="308"/>
      <c r="Z111" s="265">
        <f t="shared" si="6"/>
        <v>0</v>
      </c>
      <c r="AA111" s="308"/>
      <c r="AB111" s="315"/>
      <c r="AC111" s="261">
        <v>60</v>
      </c>
      <c r="AD111" s="308"/>
      <c r="AE111" s="262"/>
      <c r="AF111" s="308"/>
      <c r="AG111" s="391"/>
      <c r="AH111" s="392"/>
      <c r="AI111" s="391"/>
      <c r="AJ111" s="392"/>
      <c r="AK111" s="391"/>
      <c r="AL111" s="392"/>
      <c r="AM111" s="391"/>
      <c r="AN111" s="400"/>
      <c r="AO111" s="392"/>
      <c r="AP111" s="391"/>
      <c r="AQ111" s="392"/>
      <c r="AR111" s="391"/>
      <c r="AS111" s="392"/>
      <c r="AT111" s="308"/>
      <c r="AU111" s="263">
        <f t="shared" si="5"/>
        <v>0</v>
      </c>
      <c r="AV111" s="327"/>
      <c r="AW111" s="264">
        <f t="shared" si="10"/>
        <v>5000</v>
      </c>
      <c r="AX111" s="308"/>
      <c r="AY111" s="265">
        <f t="shared" si="7"/>
        <v>0</v>
      </c>
      <c r="AZ111" s="308"/>
      <c r="BA111" s="300"/>
      <c r="BB111" s="206"/>
      <c r="BC111" s="206"/>
      <c r="BD111" s="206"/>
    </row>
    <row r="112" spans="1:56" customFormat="1" x14ac:dyDescent="0.2">
      <c r="A112" s="301"/>
      <c r="B112" s="308"/>
      <c r="C112" s="308"/>
      <c r="D112" s="261">
        <v>61</v>
      </c>
      <c r="E112" s="308"/>
      <c r="F112" s="266"/>
      <c r="G112" s="308"/>
      <c r="H112" s="393"/>
      <c r="I112" s="394"/>
      <c r="J112" s="393"/>
      <c r="K112" s="394"/>
      <c r="L112" s="393"/>
      <c r="M112" s="394"/>
      <c r="N112" s="393"/>
      <c r="O112" s="401"/>
      <c r="P112" s="394"/>
      <c r="Q112" s="393"/>
      <c r="R112" s="394"/>
      <c r="S112" s="393"/>
      <c r="T112" s="394"/>
      <c r="U112" s="308"/>
      <c r="V112" s="267">
        <f t="shared" si="8"/>
        <v>0</v>
      </c>
      <c r="W112" s="327"/>
      <c r="X112" s="264">
        <f t="shared" si="11"/>
        <v>3000</v>
      </c>
      <c r="Y112" s="308"/>
      <c r="Z112" s="265">
        <f t="shared" si="6"/>
        <v>0</v>
      </c>
      <c r="AA112" s="308"/>
      <c r="AB112" s="315"/>
      <c r="AC112" s="261">
        <v>61</v>
      </c>
      <c r="AD112" s="308"/>
      <c r="AE112" s="266"/>
      <c r="AF112" s="308"/>
      <c r="AG112" s="393"/>
      <c r="AH112" s="394"/>
      <c r="AI112" s="393"/>
      <c r="AJ112" s="394"/>
      <c r="AK112" s="393"/>
      <c r="AL112" s="394"/>
      <c r="AM112" s="393"/>
      <c r="AN112" s="401"/>
      <c r="AO112" s="394"/>
      <c r="AP112" s="393"/>
      <c r="AQ112" s="394"/>
      <c r="AR112" s="393"/>
      <c r="AS112" s="394"/>
      <c r="AT112" s="308"/>
      <c r="AU112" s="267">
        <f t="shared" si="5"/>
        <v>0</v>
      </c>
      <c r="AV112" s="327"/>
      <c r="AW112" s="264">
        <f t="shared" si="10"/>
        <v>5000</v>
      </c>
      <c r="AX112" s="308"/>
      <c r="AY112" s="265">
        <f t="shared" si="7"/>
        <v>0</v>
      </c>
      <c r="AZ112" s="308"/>
      <c r="BA112" s="300"/>
      <c r="BB112" s="206"/>
      <c r="BC112" s="206"/>
      <c r="BD112" s="206"/>
    </row>
    <row r="113" spans="1:56" customFormat="1" x14ac:dyDescent="0.2">
      <c r="A113" s="301"/>
      <c r="B113" s="308"/>
      <c r="C113" s="308"/>
      <c r="D113" s="261">
        <v>62</v>
      </c>
      <c r="E113" s="308"/>
      <c r="F113" s="262"/>
      <c r="G113" s="308"/>
      <c r="H113" s="391"/>
      <c r="I113" s="392"/>
      <c r="J113" s="391"/>
      <c r="K113" s="392"/>
      <c r="L113" s="391"/>
      <c r="M113" s="392"/>
      <c r="N113" s="391"/>
      <c r="O113" s="400"/>
      <c r="P113" s="392"/>
      <c r="Q113" s="391"/>
      <c r="R113" s="392"/>
      <c r="S113" s="391"/>
      <c r="T113" s="392"/>
      <c r="U113" s="308"/>
      <c r="V113" s="263">
        <f t="shared" si="8"/>
        <v>0</v>
      </c>
      <c r="W113" s="327"/>
      <c r="X113" s="264">
        <f t="shared" si="11"/>
        <v>3000</v>
      </c>
      <c r="Y113" s="308"/>
      <c r="Z113" s="265">
        <f t="shared" si="6"/>
        <v>0</v>
      </c>
      <c r="AA113" s="308"/>
      <c r="AB113" s="315"/>
      <c r="AC113" s="261">
        <v>62</v>
      </c>
      <c r="AD113" s="308"/>
      <c r="AE113" s="262"/>
      <c r="AF113" s="308"/>
      <c r="AG113" s="391"/>
      <c r="AH113" s="392"/>
      <c r="AI113" s="391"/>
      <c r="AJ113" s="392"/>
      <c r="AK113" s="391"/>
      <c r="AL113" s="392"/>
      <c r="AM113" s="391"/>
      <c r="AN113" s="400"/>
      <c r="AO113" s="392"/>
      <c r="AP113" s="391"/>
      <c r="AQ113" s="392"/>
      <c r="AR113" s="391"/>
      <c r="AS113" s="392"/>
      <c r="AT113" s="308"/>
      <c r="AU113" s="263">
        <f t="shared" si="5"/>
        <v>0</v>
      </c>
      <c r="AV113" s="327"/>
      <c r="AW113" s="264">
        <f t="shared" si="10"/>
        <v>5000</v>
      </c>
      <c r="AX113" s="308"/>
      <c r="AY113" s="265">
        <f t="shared" si="7"/>
        <v>0</v>
      </c>
      <c r="AZ113" s="308"/>
      <c r="BA113" s="300"/>
      <c r="BB113" s="206"/>
      <c r="BC113" s="206"/>
      <c r="BD113" s="206"/>
    </row>
    <row r="114" spans="1:56" customFormat="1" x14ac:dyDescent="0.2">
      <c r="A114" s="301"/>
      <c r="B114" s="308"/>
      <c r="C114" s="308"/>
      <c r="D114" s="261">
        <v>63</v>
      </c>
      <c r="E114" s="308"/>
      <c r="F114" s="266"/>
      <c r="G114" s="308"/>
      <c r="H114" s="393"/>
      <c r="I114" s="394"/>
      <c r="J114" s="393"/>
      <c r="K114" s="394"/>
      <c r="L114" s="393"/>
      <c r="M114" s="394"/>
      <c r="N114" s="393"/>
      <c r="O114" s="401"/>
      <c r="P114" s="394"/>
      <c r="Q114" s="393"/>
      <c r="R114" s="394"/>
      <c r="S114" s="393"/>
      <c r="T114" s="394"/>
      <c r="U114" s="308"/>
      <c r="V114" s="267">
        <f t="shared" si="8"/>
        <v>0</v>
      </c>
      <c r="W114" s="327"/>
      <c r="X114" s="264">
        <f t="shared" si="11"/>
        <v>3000</v>
      </c>
      <c r="Y114" s="308"/>
      <c r="Z114" s="265">
        <f t="shared" si="6"/>
        <v>0</v>
      </c>
      <c r="AA114" s="308"/>
      <c r="AB114" s="315"/>
      <c r="AC114" s="261">
        <v>63</v>
      </c>
      <c r="AD114" s="308"/>
      <c r="AE114" s="266"/>
      <c r="AF114" s="308"/>
      <c r="AG114" s="393"/>
      <c r="AH114" s="394"/>
      <c r="AI114" s="393"/>
      <c r="AJ114" s="394"/>
      <c r="AK114" s="393"/>
      <c r="AL114" s="394"/>
      <c r="AM114" s="393"/>
      <c r="AN114" s="401"/>
      <c r="AO114" s="394"/>
      <c r="AP114" s="393"/>
      <c r="AQ114" s="394"/>
      <c r="AR114" s="393"/>
      <c r="AS114" s="394"/>
      <c r="AT114" s="308"/>
      <c r="AU114" s="267">
        <f t="shared" si="5"/>
        <v>0</v>
      </c>
      <c r="AV114" s="327"/>
      <c r="AW114" s="264">
        <f t="shared" si="10"/>
        <v>5000</v>
      </c>
      <c r="AX114" s="308"/>
      <c r="AY114" s="265">
        <f t="shared" si="7"/>
        <v>0</v>
      </c>
      <c r="AZ114" s="308"/>
      <c r="BA114" s="300"/>
      <c r="BB114" s="206"/>
      <c r="BC114" s="206"/>
      <c r="BD114" s="206"/>
    </row>
    <row r="115" spans="1:56" customFormat="1" x14ac:dyDescent="0.2">
      <c r="A115" s="301"/>
      <c r="B115" s="308"/>
      <c r="C115" s="308"/>
      <c r="D115" s="261">
        <v>64</v>
      </c>
      <c r="E115" s="308"/>
      <c r="F115" s="262"/>
      <c r="G115" s="308"/>
      <c r="H115" s="391"/>
      <c r="I115" s="392"/>
      <c r="J115" s="391"/>
      <c r="K115" s="392"/>
      <c r="L115" s="391"/>
      <c r="M115" s="392"/>
      <c r="N115" s="391"/>
      <c r="O115" s="400"/>
      <c r="P115" s="392"/>
      <c r="Q115" s="391"/>
      <c r="R115" s="392"/>
      <c r="S115" s="391"/>
      <c r="T115" s="392"/>
      <c r="U115" s="308"/>
      <c r="V115" s="263">
        <f t="shared" si="8"/>
        <v>0</v>
      </c>
      <c r="W115" s="327"/>
      <c r="X115" s="264">
        <f t="shared" si="11"/>
        <v>3000</v>
      </c>
      <c r="Y115" s="308"/>
      <c r="Z115" s="265">
        <f t="shared" si="6"/>
        <v>0</v>
      </c>
      <c r="AA115" s="308"/>
      <c r="AB115" s="315"/>
      <c r="AC115" s="261">
        <v>64</v>
      </c>
      <c r="AD115" s="308"/>
      <c r="AE115" s="262"/>
      <c r="AF115" s="308"/>
      <c r="AG115" s="391"/>
      <c r="AH115" s="392"/>
      <c r="AI115" s="391"/>
      <c r="AJ115" s="392"/>
      <c r="AK115" s="391"/>
      <c r="AL115" s="392"/>
      <c r="AM115" s="391"/>
      <c r="AN115" s="400"/>
      <c r="AO115" s="392"/>
      <c r="AP115" s="391"/>
      <c r="AQ115" s="392"/>
      <c r="AR115" s="391"/>
      <c r="AS115" s="392"/>
      <c r="AT115" s="308"/>
      <c r="AU115" s="263">
        <f t="shared" si="5"/>
        <v>0</v>
      </c>
      <c r="AV115" s="327"/>
      <c r="AW115" s="264">
        <f t="shared" si="10"/>
        <v>5000</v>
      </c>
      <c r="AX115" s="308"/>
      <c r="AY115" s="265">
        <f t="shared" si="7"/>
        <v>0</v>
      </c>
      <c r="AZ115" s="308"/>
      <c r="BA115" s="300"/>
      <c r="BB115" s="206"/>
      <c r="BC115" s="206"/>
      <c r="BD115" s="206"/>
    </row>
    <row r="116" spans="1:56" customFormat="1" x14ac:dyDescent="0.2">
      <c r="A116" s="301"/>
      <c r="B116" s="308"/>
      <c r="C116" s="308"/>
      <c r="D116" s="261">
        <v>65</v>
      </c>
      <c r="E116" s="308"/>
      <c r="F116" s="266"/>
      <c r="G116" s="308"/>
      <c r="H116" s="393"/>
      <c r="I116" s="394"/>
      <c r="J116" s="393"/>
      <c r="K116" s="394"/>
      <c r="L116" s="393"/>
      <c r="M116" s="394"/>
      <c r="N116" s="393"/>
      <c r="O116" s="401"/>
      <c r="P116" s="394"/>
      <c r="Q116" s="393"/>
      <c r="R116" s="394"/>
      <c r="S116" s="393"/>
      <c r="T116" s="394"/>
      <c r="U116" s="308"/>
      <c r="V116" s="267">
        <f t="shared" si="8"/>
        <v>0</v>
      </c>
      <c r="W116" s="327"/>
      <c r="X116" s="264">
        <f t="shared" si="11"/>
        <v>3000</v>
      </c>
      <c r="Y116" s="308"/>
      <c r="Z116" s="265">
        <f t="shared" si="6"/>
        <v>0</v>
      </c>
      <c r="AA116" s="308"/>
      <c r="AB116" s="315"/>
      <c r="AC116" s="261">
        <v>65</v>
      </c>
      <c r="AD116" s="308"/>
      <c r="AE116" s="266"/>
      <c r="AF116" s="308"/>
      <c r="AG116" s="393"/>
      <c r="AH116" s="394"/>
      <c r="AI116" s="393"/>
      <c r="AJ116" s="394"/>
      <c r="AK116" s="393"/>
      <c r="AL116" s="394"/>
      <c r="AM116" s="393"/>
      <c r="AN116" s="401"/>
      <c r="AO116" s="394"/>
      <c r="AP116" s="393"/>
      <c r="AQ116" s="394"/>
      <c r="AR116" s="393"/>
      <c r="AS116" s="394"/>
      <c r="AT116" s="308"/>
      <c r="AU116" s="267">
        <f>(AH116+AG116)*$H$49+(AJ116+AI116)*$J$49+(AL116+AK116)*$L$49+(AO116+AM116+AN116)*$N$49+(AQ116+AP116)*$Q$49+(AS116+AR116)*$S$49</f>
        <v>0</v>
      </c>
      <c r="AV116" s="327"/>
      <c r="AW116" s="264">
        <f t="shared" si="10"/>
        <v>5000</v>
      </c>
      <c r="AX116" s="308"/>
      <c r="AY116" s="265">
        <f t="shared" si="7"/>
        <v>0</v>
      </c>
      <c r="AZ116" s="308"/>
      <c r="BA116" s="300"/>
      <c r="BB116" s="206"/>
      <c r="BC116" s="206"/>
      <c r="BD116" s="206"/>
    </row>
    <row r="117" spans="1:56" customFormat="1" x14ac:dyDescent="0.2">
      <c r="A117" s="301"/>
      <c r="B117" s="308"/>
      <c r="C117" s="308"/>
      <c r="D117" s="261">
        <v>66</v>
      </c>
      <c r="E117" s="308"/>
      <c r="F117" s="262"/>
      <c r="G117" s="308"/>
      <c r="H117" s="391"/>
      <c r="I117" s="392"/>
      <c r="J117" s="391"/>
      <c r="K117" s="392"/>
      <c r="L117" s="391"/>
      <c r="M117" s="392"/>
      <c r="N117" s="391"/>
      <c r="O117" s="400"/>
      <c r="P117" s="392"/>
      <c r="Q117" s="391"/>
      <c r="R117" s="392"/>
      <c r="S117" s="391"/>
      <c r="T117" s="392"/>
      <c r="U117" s="308"/>
      <c r="V117" s="263">
        <f t="shared" si="8"/>
        <v>0</v>
      </c>
      <c r="W117" s="327"/>
      <c r="X117" s="264">
        <f t="shared" si="11"/>
        <v>3000</v>
      </c>
      <c r="Y117" s="308"/>
      <c r="Z117" s="265">
        <f>SUM(H117:T117)</f>
        <v>0</v>
      </c>
      <c r="AA117" s="308"/>
      <c r="AB117" s="315"/>
      <c r="AC117" s="261">
        <v>66</v>
      </c>
      <c r="AD117" s="308"/>
      <c r="AE117" s="262"/>
      <c r="AF117" s="308"/>
      <c r="AG117" s="391"/>
      <c r="AH117" s="392"/>
      <c r="AI117" s="391"/>
      <c r="AJ117" s="392"/>
      <c r="AK117" s="391"/>
      <c r="AL117" s="392"/>
      <c r="AM117" s="391"/>
      <c r="AN117" s="400"/>
      <c r="AO117" s="392"/>
      <c r="AP117" s="391"/>
      <c r="AQ117" s="392"/>
      <c r="AR117" s="391"/>
      <c r="AS117" s="392"/>
      <c r="AT117" s="308"/>
      <c r="AU117" s="263">
        <f>(AH117+AG117)*$H$49+(AJ117+AI117)*$J$49+(AL117+AK117)*$L$49+(AO117+AM117+AN117)*$N$49+(AQ117+AP117)*$Q$49+(AS117+AR117)*$S$49</f>
        <v>0</v>
      </c>
      <c r="AV117" s="327"/>
      <c r="AW117" s="264">
        <f t="shared" si="10"/>
        <v>5000</v>
      </c>
      <c r="AX117" s="308"/>
      <c r="AY117" s="265">
        <f>SUM(AG117:AS117)</f>
        <v>0</v>
      </c>
      <c r="AZ117" s="308"/>
      <c r="BA117" s="300"/>
      <c r="BB117" s="206"/>
      <c r="BC117" s="206"/>
      <c r="BD117" s="206"/>
    </row>
    <row r="118" spans="1:56" customFormat="1" x14ac:dyDescent="0.2">
      <c r="A118" s="301"/>
      <c r="B118" s="308"/>
      <c r="C118" s="308"/>
      <c r="D118" s="261">
        <v>67</v>
      </c>
      <c r="E118" s="308"/>
      <c r="F118" s="266"/>
      <c r="G118" s="308"/>
      <c r="H118" s="393"/>
      <c r="I118" s="394"/>
      <c r="J118" s="393"/>
      <c r="K118" s="394"/>
      <c r="L118" s="393"/>
      <c r="M118" s="394"/>
      <c r="N118" s="393"/>
      <c r="O118" s="401"/>
      <c r="P118" s="394"/>
      <c r="Q118" s="393"/>
      <c r="R118" s="394"/>
      <c r="S118" s="393"/>
      <c r="T118" s="394"/>
      <c r="U118" s="308"/>
      <c r="V118" s="267">
        <f>(I118+H118)*$H$49+(K118+J118)*$J$49+(M118+L118)*$L$49+(P118+N118+O118)*$N$49+(R118+Q118)*$Q$49+(T118+S118)*$S$49</f>
        <v>0</v>
      </c>
      <c r="W118" s="327"/>
      <c r="X118" s="264">
        <f t="shared" si="11"/>
        <v>3000</v>
      </c>
      <c r="Y118" s="308"/>
      <c r="Z118" s="265">
        <f>SUM(H118:T118)</f>
        <v>0</v>
      </c>
      <c r="AA118" s="308"/>
      <c r="AB118" s="315"/>
      <c r="AC118" s="261">
        <v>67</v>
      </c>
      <c r="AD118" s="308"/>
      <c r="AE118" s="266"/>
      <c r="AF118" s="308"/>
      <c r="AG118" s="393"/>
      <c r="AH118" s="394"/>
      <c r="AI118" s="393"/>
      <c r="AJ118" s="394"/>
      <c r="AK118" s="393"/>
      <c r="AL118" s="394"/>
      <c r="AM118" s="393"/>
      <c r="AN118" s="401"/>
      <c r="AO118" s="394"/>
      <c r="AP118" s="393"/>
      <c r="AQ118" s="394"/>
      <c r="AR118" s="393"/>
      <c r="AS118" s="394"/>
      <c r="AT118" s="308"/>
      <c r="AU118" s="267">
        <f>(AH118+AG118)*$H$49+(AJ118+AI118)*$J$49+(AL118+AK118)*$L$49+(AO118+AM118+AN118)*$N$49+(AQ118+AP118)*$Q$49+(AS118+AR118)*$S$49</f>
        <v>0</v>
      </c>
      <c r="AV118" s="327"/>
      <c r="AW118" s="264">
        <f>AW117+AU118</f>
        <v>5000</v>
      </c>
      <c r="AX118" s="308"/>
      <c r="AY118" s="265">
        <f>SUM(AG118:AS118)</f>
        <v>0</v>
      </c>
      <c r="AZ118" s="308"/>
      <c r="BA118" s="300"/>
      <c r="BB118" s="206"/>
      <c r="BC118" s="206"/>
      <c r="BD118" s="206"/>
    </row>
    <row r="119" spans="1:56" customFormat="1" ht="13.5" thickBot="1" x14ac:dyDescent="0.25">
      <c r="A119" s="301"/>
      <c r="B119" s="308"/>
      <c r="C119" s="308"/>
      <c r="D119" s="270">
        <v>68</v>
      </c>
      <c r="E119" s="351"/>
      <c r="F119" s="271"/>
      <c r="G119" s="351"/>
      <c r="H119" s="395"/>
      <c r="I119" s="396"/>
      <c r="J119" s="395"/>
      <c r="K119" s="396"/>
      <c r="L119" s="395"/>
      <c r="M119" s="396"/>
      <c r="N119" s="395"/>
      <c r="O119" s="402"/>
      <c r="P119" s="396"/>
      <c r="Q119" s="395"/>
      <c r="R119" s="396"/>
      <c r="S119" s="395"/>
      <c r="T119" s="396"/>
      <c r="U119" s="344"/>
      <c r="V119" s="272">
        <f>(I119+H119)*$H$49+(K119+J119)*$J$49+(M119+L119)*$L$49+(P119+N119+O119)*$N$49+(R119+Q119)*$Q$49+(T119+S119)*$S$49</f>
        <v>0</v>
      </c>
      <c r="W119" s="327"/>
      <c r="X119" s="273">
        <f t="shared" si="9"/>
        <v>3000</v>
      </c>
      <c r="Y119" s="344"/>
      <c r="Z119" s="274">
        <f>SUM(H119:T119)</f>
        <v>0</v>
      </c>
      <c r="AA119" s="308"/>
      <c r="AB119" s="315"/>
      <c r="AC119" s="270">
        <v>68</v>
      </c>
      <c r="AD119" s="351"/>
      <c r="AE119" s="271"/>
      <c r="AF119" s="351"/>
      <c r="AG119" s="395"/>
      <c r="AH119" s="396"/>
      <c r="AI119" s="395"/>
      <c r="AJ119" s="396"/>
      <c r="AK119" s="395"/>
      <c r="AL119" s="396"/>
      <c r="AM119" s="395"/>
      <c r="AN119" s="402"/>
      <c r="AO119" s="396"/>
      <c r="AP119" s="395"/>
      <c r="AQ119" s="396"/>
      <c r="AR119" s="395"/>
      <c r="AS119" s="396"/>
      <c r="AT119" s="344"/>
      <c r="AU119" s="272">
        <f>(AH119+AG119)*$H$49+(AJ119+AI119)*$J$49+(AL119+AK119)*$L$49+(AO119+AM119+AN119)*$N$49+(AQ119+AP119)*$Q$49+(AS119+AR119)*$S$49</f>
        <v>0</v>
      </c>
      <c r="AV119" s="327"/>
      <c r="AW119" s="273">
        <f>AW118+AU119</f>
        <v>5000</v>
      </c>
      <c r="AX119" s="344"/>
      <c r="AY119" s="274">
        <f>SUM(AG119:AS119)</f>
        <v>0</v>
      </c>
      <c r="AZ119" s="308"/>
      <c r="BA119" s="300"/>
      <c r="BB119" s="206"/>
      <c r="BC119" s="206"/>
      <c r="BD119" s="206"/>
    </row>
    <row r="120" spans="1:56" customFormat="1" ht="5.0999999999999996" customHeight="1" thickBot="1" x14ac:dyDescent="0.25">
      <c r="A120" s="301"/>
      <c r="B120" s="308"/>
      <c r="C120" s="308"/>
      <c r="D120" s="310"/>
      <c r="E120" s="315"/>
      <c r="F120" s="305"/>
      <c r="G120" s="315"/>
      <c r="H120" s="315"/>
      <c r="I120" s="358"/>
      <c r="J120" s="358"/>
      <c r="K120" s="358"/>
      <c r="L120" s="358"/>
      <c r="M120" s="358"/>
      <c r="N120" s="358"/>
      <c r="O120" s="358"/>
      <c r="P120" s="358"/>
      <c r="Q120" s="358"/>
      <c r="R120" s="358"/>
      <c r="S120" s="358"/>
      <c r="T120" s="358"/>
      <c r="U120" s="315"/>
      <c r="V120" s="327"/>
      <c r="W120" s="327"/>
      <c r="X120" s="352"/>
      <c r="Y120" s="315"/>
      <c r="Z120" s="331"/>
      <c r="AA120" s="308"/>
      <c r="AB120" s="315"/>
      <c r="AC120" s="310"/>
      <c r="AD120" s="315"/>
      <c r="AE120" s="305"/>
      <c r="AF120" s="315"/>
      <c r="AG120" s="315"/>
      <c r="AH120" s="358"/>
      <c r="AI120" s="358"/>
      <c r="AJ120" s="358"/>
      <c r="AK120" s="358"/>
      <c r="AL120" s="358"/>
      <c r="AM120" s="358"/>
      <c r="AN120" s="358"/>
      <c r="AO120" s="358"/>
      <c r="AP120" s="358"/>
      <c r="AQ120" s="358"/>
      <c r="AR120" s="358"/>
      <c r="AS120" s="358"/>
      <c r="AT120" s="315"/>
      <c r="AU120" s="327"/>
      <c r="AV120" s="327"/>
      <c r="AW120" s="352"/>
      <c r="AX120" s="315"/>
      <c r="AY120" s="331"/>
      <c r="AZ120" s="308"/>
      <c r="BA120" s="300"/>
      <c r="BB120" s="206"/>
      <c r="BC120" s="206"/>
      <c r="BD120" s="206"/>
    </row>
    <row r="121" spans="1:56" customFormat="1" ht="13.5" thickBot="1" x14ac:dyDescent="0.25">
      <c r="A121" s="301"/>
      <c r="B121" s="308"/>
      <c r="C121" s="308"/>
      <c r="D121" s="310"/>
      <c r="E121" s="315"/>
      <c r="F121" s="305"/>
      <c r="G121" s="315"/>
      <c r="H121" s="275">
        <f>SUM(H52:H119)</f>
        <v>30</v>
      </c>
      <c r="I121" s="275">
        <f t="shared" ref="I121:T121" si="12">SUM(I52:I119)</f>
        <v>0</v>
      </c>
      <c r="J121" s="275">
        <f t="shared" si="12"/>
        <v>0</v>
      </c>
      <c r="K121" s="275">
        <f t="shared" si="12"/>
        <v>0</v>
      </c>
      <c r="L121" s="275">
        <f t="shared" si="12"/>
        <v>0</v>
      </c>
      <c r="M121" s="275">
        <f t="shared" si="12"/>
        <v>0</v>
      </c>
      <c r="N121" s="275">
        <f t="shared" si="12"/>
        <v>0</v>
      </c>
      <c r="O121" s="275">
        <f t="shared" si="12"/>
        <v>0</v>
      </c>
      <c r="P121" s="275">
        <f t="shared" si="12"/>
        <v>0</v>
      </c>
      <c r="Q121" s="275">
        <f t="shared" si="12"/>
        <v>0</v>
      </c>
      <c r="R121" s="275">
        <f t="shared" si="12"/>
        <v>0</v>
      </c>
      <c r="S121" s="275">
        <f t="shared" si="12"/>
        <v>0</v>
      </c>
      <c r="T121" s="275">
        <f t="shared" si="12"/>
        <v>0</v>
      </c>
      <c r="U121" s="315"/>
      <c r="V121" s="327"/>
      <c r="W121" s="327"/>
      <c r="X121" s="352"/>
      <c r="Y121" s="315"/>
      <c r="Z121" s="275">
        <f>SUM(Z52:Z119)</f>
        <v>30</v>
      </c>
      <c r="AA121" s="308"/>
      <c r="AB121" s="315"/>
      <c r="AC121" s="310"/>
      <c r="AD121" s="315"/>
      <c r="AE121" s="305"/>
      <c r="AF121" s="315"/>
      <c r="AG121" s="275">
        <f>SUM(AG52:AG119)</f>
        <v>20</v>
      </c>
      <c r="AH121" s="275">
        <f t="shared" ref="AH121:AS121" si="13">SUM(AH52:AH119)</f>
        <v>0</v>
      </c>
      <c r="AI121" s="275">
        <f t="shared" si="13"/>
        <v>60</v>
      </c>
      <c r="AJ121" s="275">
        <f t="shared" si="13"/>
        <v>0</v>
      </c>
      <c r="AK121" s="275">
        <f t="shared" si="13"/>
        <v>0</v>
      </c>
      <c r="AL121" s="275">
        <f t="shared" si="13"/>
        <v>0</v>
      </c>
      <c r="AM121" s="275">
        <f t="shared" si="13"/>
        <v>0</v>
      </c>
      <c r="AN121" s="275">
        <f t="shared" si="13"/>
        <v>0</v>
      </c>
      <c r="AO121" s="275">
        <f t="shared" si="13"/>
        <v>0</v>
      </c>
      <c r="AP121" s="275">
        <f t="shared" si="13"/>
        <v>0</v>
      </c>
      <c r="AQ121" s="275">
        <f t="shared" si="13"/>
        <v>0</v>
      </c>
      <c r="AR121" s="275">
        <f t="shared" si="13"/>
        <v>0</v>
      </c>
      <c r="AS121" s="275">
        <f t="shared" si="13"/>
        <v>0</v>
      </c>
      <c r="AT121" s="315"/>
      <c r="AU121" s="327"/>
      <c r="AV121" s="327"/>
      <c r="AW121" s="352"/>
      <c r="AX121" s="315"/>
      <c r="AY121" s="275">
        <f>SUM(AY52:AY119)</f>
        <v>80</v>
      </c>
      <c r="AZ121" s="308"/>
      <c r="BA121" s="300"/>
      <c r="BB121" s="206"/>
      <c r="BC121" s="206"/>
      <c r="BD121" s="206"/>
    </row>
    <row r="122" spans="1:56" customFormat="1" ht="5.0999999999999996" customHeight="1" thickBot="1" x14ac:dyDescent="0.25">
      <c r="A122" s="301"/>
      <c r="B122" s="308"/>
      <c r="C122" s="308"/>
      <c r="D122" s="310"/>
      <c r="E122" s="315"/>
      <c r="F122" s="305"/>
      <c r="G122" s="315"/>
      <c r="H122" s="360"/>
      <c r="I122" s="360"/>
      <c r="J122" s="360"/>
      <c r="K122" s="360"/>
      <c r="L122" s="360"/>
      <c r="M122" s="360"/>
      <c r="N122" s="360"/>
      <c r="O122" s="360"/>
      <c r="P122" s="360"/>
      <c r="Q122" s="360"/>
      <c r="R122" s="360"/>
      <c r="S122" s="360"/>
      <c r="T122" s="360"/>
      <c r="U122" s="315"/>
      <c r="V122" s="327"/>
      <c r="W122" s="327"/>
      <c r="X122" s="352"/>
      <c r="Y122" s="315"/>
      <c r="Z122" s="331"/>
      <c r="AA122" s="308"/>
      <c r="AB122" s="315"/>
      <c r="AC122" s="310"/>
      <c r="AD122" s="315"/>
      <c r="AE122" s="305"/>
      <c r="AF122" s="315"/>
      <c r="AG122" s="305"/>
      <c r="AH122" s="305"/>
      <c r="AI122" s="305"/>
      <c r="AJ122" s="305"/>
      <c r="AK122" s="305"/>
      <c r="AL122" s="305"/>
      <c r="AM122" s="305"/>
      <c r="AN122" s="305"/>
      <c r="AO122" s="305"/>
      <c r="AP122" s="305"/>
      <c r="AQ122" s="305"/>
      <c r="AR122" s="305"/>
      <c r="AS122" s="305"/>
      <c r="AT122" s="315"/>
      <c r="AU122" s="327"/>
      <c r="AV122" s="327"/>
      <c r="AW122" s="352"/>
      <c r="AX122" s="315"/>
      <c r="AY122" s="331"/>
      <c r="AZ122" s="308"/>
      <c r="BA122" s="300"/>
      <c r="BB122" s="206"/>
      <c r="BC122" s="206"/>
      <c r="BD122" s="206"/>
    </row>
    <row r="123" spans="1:56" customFormat="1" ht="13.5" thickBot="1" x14ac:dyDescent="0.25">
      <c r="A123" s="301"/>
      <c r="B123" s="308"/>
      <c r="C123" s="308"/>
      <c r="D123" s="310"/>
      <c r="E123" s="315"/>
      <c r="F123" s="305"/>
      <c r="G123" s="315"/>
      <c r="H123" s="292" t="str">
        <f>H50</f>
        <v>ANTIGO</v>
      </c>
      <c r="I123" s="293" t="str">
        <f t="shared" ref="I123:T123" si="14">I50</f>
        <v>NOVO</v>
      </c>
      <c r="J123" s="292" t="str">
        <f t="shared" si="14"/>
        <v>ANTIGO</v>
      </c>
      <c r="K123" s="293" t="str">
        <f t="shared" si="14"/>
        <v>NOVO</v>
      </c>
      <c r="L123" s="292" t="str">
        <f t="shared" si="14"/>
        <v>ANTIGO</v>
      </c>
      <c r="M123" s="293" t="str">
        <f t="shared" si="14"/>
        <v>NOVO</v>
      </c>
      <c r="N123" s="292" t="str">
        <f t="shared" si="14"/>
        <v>ANTIGO</v>
      </c>
      <c r="O123" s="294" t="str">
        <f t="shared" si="14"/>
        <v>NOVO</v>
      </c>
      <c r="P123" s="293" t="str">
        <f t="shared" si="14"/>
        <v>POLÍMERO</v>
      </c>
      <c r="Q123" s="292" t="str">
        <f t="shared" si="14"/>
        <v>ANTIGO</v>
      </c>
      <c r="R123" s="293" t="str">
        <f t="shared" si="14"/>
        <v>NOVO</v>
      </c>
      <c r="S123" s="292" t="str">
        <f t="shared" si="14"/>
        <v>ANTIGO</v>
      </c>
      <c r="T123" s="293" t="str">
        <f t="shared" si="14"/>
        <v>NOVO</v>
      </c>
      <c r="U123" s="315"/>
      <c r="V123" s="327"/>
      <c r="W123" s="327"/>
      <c r="X123" s="352"/>
      <c r="Y123" s="315"/>
      <c r="Z123" s="357"/>
      <c r="AA123" s="308"/>
      <c r="AB123" s="315"/>
      <c r="AC123" s="310"/>
      <c r="AD123" s="315"/>
      <c r="AE123" s="305"/>
      <c r="AF123" s="315"/>
      <c r="AG123" s="292" t="str">
        <f>AG50</f>
        <v>ANTIGO</v>
      </c>
      <c r="AH123" s="293" t="str">
        <f t="shared" ref="AH123:AS123" si="15">AH50</f>
        <v>NOVO</v>
      </c>
      <c r="AI123" s="292" t="str">
        <f t="shared" si="15"/>
        <v>ANTIGO</v>
      </c>
      <c r="AJ123" s="293" t="str">
        <f t="shared" si="15"/>
        <v>NOVO</v>
      </c>
      <c r="AK123" s="292" t="str">
        <f t="shared" si="15"/>
        <v>ANTIGO</v>
      </c>
      <c r="AL123" s="293" t="str">
        <f t="shared" si="15"/>
        <v>NOVO</v>
      </c>
      <c r="AM123" s="292" t="str">
        <f t="shared" si="15"/>
        <v>ANTIGO</v>
      </c>
      <c r="AN123" s="294" t="str">
        <f t="shared" si="15"/>
        <v>NOVO</v>
      </c>
      <c r="AO123" s="293" t="str">
        <f t="shared" si="15"/>
        <v>POLÍMERO</v>
      </c>
      <c r="AP123" s="292" t="str">
        <f t="shared" si="15"/>
        <v>ANTIGO</v>
      </c>
      <c r="AQ123" s="293" t="str">
        <f t="shared" si="15"/>
        <v>NOVO</v>
      </c>
      <c r="AR123" s="292" t="str">
        <f t="shared" si="15"/>
        <v>ANTIGO</v>
      </c>
      <c r="AS123" s="293" t="str">
        <f t="shared" si="15"/>
        <v>NOVO</v>
      </c>
      <c r="AT123" s="315"/>
      <c r="AU123" s="327"/>
      <c r="AV123" s="327"/>
      <c r="AW123" s="352"/>
      <c r="AX123" s="315"/>
      <c r="AY123" s="331"/>
      <c r="AZ123" s="308"/>
      <c r="BA123" s="300"/>
      <c r="BB123" s="206"/>
      <c r="BC123" s="206"/>
      <c r="BD123" s="206"/>
    </row>
    <row r="124" spans="1:56" customFormat="1" ht="13.5" thickBot="1" x14ac:dyDescent="0.25">
      <c r="A124" s="301"/>
      <c r="B124" s="308"/>
      <c r="C124" s="308"/>
      <c r="D124" s="310"/>
      <c r="E124" s="315"/>
      <c r="F124" s="305"/>
      <c r="G124" s="315"/>
      <c r="H124" s="614">
        <f>H49</f>
        <v>100</v>
      </c>
      <c r="I124" s="615"/>
      <c r="J124" s="614">
        <f>J49</f>
        <v>50</v>
      </c>
      <c r="K124" s="615"/>
      <c r="L124" s="614">
        <f>L49</f>
        <v>20</v>
      </c>
      <c r="M124" s="615"/>
      <c r="N124" s="623">
        <f>N49</f>
        <v>10</v>
      </c>
      <c r="O124" s="624"/>
      <c r="P124" s="625"/>
      <c r="Q124" s="614">
        <f>Q49</f>
        <v>5</v>
      </c>
      <c r="R124" s="615"/>
      <c r="S124" s="614">
        <f>S49</f>
        <v>2</v>
      </c>
      <c r="T124" s="615"/>
      <c r="U124" s="315"/>
      <c r="V124" s="327"/>
      <c r="W124" s="327"/>
      <c r="X124" s="352"/>
      <c r="Y124" s="315"/>
      <c r="Z124" s="331"/>
      <c r="AA124" s="308"/>
      <c r="AB124" s="315"/>
      <c r="AC124" s="310"/>
      <c r="AD124" s="315"/>
      <c r="AE124" s="305"/>
      <c r="AF124" s="315"/>
      <c r="AG124" s="614">
        <f>AG49</f>
        <v>100</v>
      </c>
      <c r="AH124" s="615"/>
      <c r="AI124" s="614">
        <f>AI49</f>
        <v>50</v>
      </c>
      <c r="AJ124" s="615"/>
      <c r="AK124" s="614">
        <f>AK49</f>
        <v>20</v>
      </c>
      <c r="AL124" s="615"/>
      <c r="AM124" s="623">
        <f>AM49</f>
        <v>10</v>
      </c>
      <c r="AN124" s="624"/>
      <c r="AO124" s="625"/>
      <c r="AP124" s="614">
        <f>AP49</f>
        <v>5</v>
      </c>
      <c r="AQ124" s="615"/>
      <c r="AR124" s="614">
        <f>AR49</f>
        <v>2</v>
      </c>
      <c r="AS124" s="615"/>
      <c r="AT124" s="315"/>
      <c r="AU124" s="327"/>
      <c r="AV124" s="327"/>
      <c r="AW124" s="352"/>
      <c r="AX124" s="315"/>
      <c r="AY124" s="331"/>
      <c r="AZ124" s="308"/>
      <c r="BA124" s="300"/>
      <c r="BB124" s="206"/>
      <c r="BC124" s="206"/>
      <c r="BD124" s="206"/>
    </row>
    <row r="125" spans="1:56" customFormat="1" ht="13.5" thickBot="1" x14ac:dyDescent="0.25">
      <c r="A125" s="301"/>
      <c r="B125" s="308"/>
      <c r="C125" s="308"/>
      <c r="D125" s="310"/>
      <c r="E125" s="315"/>
      <c r="F125" s="305"/>
      <c r="G125" s="315"/>
      <c r="H125" s="310"/>
      <c r="I125" s="310"/>
      <c r="J125" s="310"/>
      <c r="K125" s="310"/>
      <c r="L125" s="310"/>
      <c r="M125" s="310"/>
      <c r="N125" s="310"/>
      <c r="O125" s="310"/>
      <c r="P125" s="310"/>
      <c r="Q125" s="310"/>
      <c r="R125" s="310"/>
      <c r="S125" s="310"/>
      <c r="T125" s="310"/>
      <c r="U125" s="315"/>
      <c r="V125" s="327"/>
      <c r="W125" s="327"/>
      <c r="X125" s="352"/>
      <c r="Y125" s="315"/>
      <c r="Z125" s="331"/>
      <c r="AA125" s="308"/>
      <c r="AB125" s="315"/>
      <c r="AC125" s="310"/>
      <c r="AD125" s="315"/>
      <c r="AE125" s="305"/>
      <c r="AF125" s="315"/>
      <c r="AG125" s="305"/>
      <c r="AH125" s="305"/>
      <c r="AI125" s="305"/>
      <c r="AJ125" s="305"/>
      <c r="AK125" s="305"/>
      <c r="AL125" s="305"/>
      <c r="AM125" s="305"/>
      <c r="AN125" s="305"/>
      <c r="AO125" s="305"/>
      <c r="AP125" s="305"/>
      <c r="AQ125" s="305"/>
      <c r="AR125" s="305"/>
      <c r="AS125" s="305"/>
      <c r="AT125" s="315"/>
      <c r="AU125" s="327"/>
      <c r="AV125" s="327"/>
      <c r="AW125" s="352"/>
      <c r="AX125" s="315"/>
      <c r="AY125" s="331"/>
      <c r="AZ125" s="308"/>
      <c r="BA125" s="300"/>
      <c r="BB125" s="206"/>
      <c r="BC125" s="206"/>
      <c r="BD125" s="206"/>
    </row>
    <row r="126" spans="1:56" ht="24.75" customHeight="1" thickBot="1" x14ac:dyDescent="0.25">
      <c r="A126" s="181"/>
      <c r="B126" s="304"/>
      <c r="C126" s="304"/>
      <c r="D126" s="304"/>
      <c r="E126" s="376"/>
      <c r="F126" s="377"/>
      <c r="G126" s="378"/>
      <c r="H126" s="378"/>
      <c r="I126" s="621" t="s">
        <v>25</v>
      </c>
      <c r="J126" s="621"/>
      <c r="K126" s="621"/>
      <c r="L126" s="621"/>
      <c r="M126" s="621"/>
      <c r="N126" s="621"/>
      <c r="O126" s="621"/>
      <c r="P126" s="621"/>
      <c r="Q126" s="621"/>
      <c r="R126" s="621"/>
      <c r="S126" s="621"/>
      <c r="T126" s="621"/>
      <c r="U126" s="379"/>
      <c r="V126" s="318"/>
      <c r="W126" s="304"/>
      <c r="X126" s="304"/>
      <c r="Y126" s="304"/>
      <c r="Z126" s="357"/>
      <c r="AA126" s="304"/>
      <c r="AB126" s="304"/>
      <c r="AC126" s="304"/>
      <c r="AD126" s="376"/>
      <c r="AE126" s="377"/>
      <c r="AF126" s="378"/>
      <c r="AG126" s="378"/>
      <c r="AH126" s="621" t="s">
        <v>25</v>
      </c>
      <c r="AI126" s="621"/>
      <c r="AJ126" s="621"/>
      <c r="AK126" s="621"/>
      <c r="AL126" s="621"/>
      <c r="AM126" s="621"/>
      <c r="AN126" s="621"/>
      <c r="AO126" s="621"/>
      <c r="AP126" s="621"/>
      <c r="AQ126" s="621"/>
      <c r="AR126" s="621"/>
      <c r="AS126" s="621"/>
      <c r="AT126" s="379"/>
      <c r="AU126" s="318"/>
      <c r="AV126" s="304"/>
      <c r="AW126" s="304"/>
      <c r="AX126" s="304"/>
      <c r="AY126" s="357"/>
      <c r="AZ126" s="306"/>
      <c r="BA126" s="299"/>
      <c r="BB126" s="184"/>
      <c r="BC126" s="184"/>
      <c r="BD126" s="184"/>
    </row>
    <row r="127" spans="1:56" s="10" customFormat="1" ht="13.5" thickBot="1" x14ac:dyDescent="0.25">
      <c r="A127" s="301"/>
      <c r="B127" s="308"/>
      <c r="C127" s="315"/>
      <c r="D127" s="640"/>
      <c r="E127" s="380"/>
      <c r="F127" s="641" t="s">
        <v>17</v>
      </c>
      <c r="G127" s="368"/>
      <c r="H127" s="610">
        <v>100</v>
      </c>
      <c r="I127" s="611"/>
      <c r="J127" s="610">
        <v>50</v>
      </c>
      <c r="K127" s="611"/>
      <c r="L127" s="610">
        <v>20</v>
      </c>
      <c r="M127" s="611"/>
      <c r="N127" s="610">
        <v>10</v>
      </c>
      <c r="O127" s="626"/>
      <c r="P127" s="611"/>
      <c r="Q127" s="610">
        <v>5</v>
      </c>
      <c r="R127" s="611"/>
      <c r="S127" s="610">
        <v>2</v>
      </c>
      <c r="T127" s="611"/>
      <c r="U127" s="381"/>
      <c r="V127" s="323"/>
      <c r="W127" s="315"/>
      <c r="X127" s="318"/>
      <c r="Y127" s="315"/>
      <c r="Z127" s="331"/>
      <c r="AA127" s="308"/>
      <c r="AB127" s="308"/>
      <c r="AC127" s="640"/>
      <c r="AD127" s="380"/>
      <c r="AE127" s="641" t="s">
        <v>17</v>
      </c>
      <c r="AF127" s="368"/>
      <c r="AG127" s="610">
        <v>100</v>
      </c>
      <c r="AH127" s="611"/>
      <c r="AI127" s="610">
        <v>50</v>
      </c>
      <c r="AJ127" s="611"/>
      <c r="AK127" s="610">
        <v>20</v>
      </c>
      <c r="AL127" s="611"/>
      <c r="AM127" s="610">
        <v>10</v>
      </c>
      <c r="AN127" s="626"/>
      <c r="AO127" s="611"/>
      <c r="AP127" s="610">
        <v>5</v>
      </c>
      <c r="AQ127" s="611"/>
      <c r="AR127" s="610">
        <v>2</v>
      </c>
      <c r="AS127" s="611"/>
      <c r="AT127" s="381"/>
      <c r="AU127" s="323"/>
      <c r="AV127" s="315"/>
      <c r="AW127" s="318"/>
      <c r="AX127" s="315"/>
      <c r="AY127" s="331"/>
      <c r="AZ127" s="308"/>
      <c r="BA127" s="300"/>
      <c r="BB127" s="201"/>
      <c r="BC127" s="201"/>
      <c r="BD127" s="201"/>
    </row>
    <row r="128" spans="1:56" s="10" customFormat="1" ht="13.5" customHeight="1" thickBot="1" x14ac:dyDescent="0.25">
      <c r="A128" s="301"/>
      <c r="B128" s="308"/>
      <c r="C128" s="315"/>
      <c r="D128" s="640"/>
      <c r="E128" s="380"/>
      <c r="F128" s="642"/>
      <c r="G128" s="368"/>
      <c r="H128" s="295" t="str">
        <f t="shared" ref="H128:T128" si="16">H123</f>
        <v>ANTIGO</v>
      </c>
      <c r="I128" s="296" t="str">
        <f t="shared" si="16"/>
        <v>NOVO</v>
      </c>
      <c r="J128" s="295" t="str">
        <f t="shared" si="16"/>
        <v>ANTIGO</v>
      </c>
      <c r="K128" s="296" t="str">
        <f t="shared" si="16"/>
        <v>NOVO</v>
      </c>
      <c r="L128" s="295" t="str">
        <f t="shared" si="16"/>
        <v>ANTIGO</v>
      </c>
      <c r="M128" s="296" t="str">
        <f t="shared" si="16"/>
        <v>NOVO</v>
      </c>
      <c r="N128" s="295" t="str">
        <f t="shared" si="16"/>
        <v>ANTIGO</v>
      </c>
      <c r="O128" s="297" t="str">
        <f t="shared" si="16"/>
        <v>NOVO</v>
      </c>
      <c r="P128" s="296" t="str">
        <f t="shared" si="16"/>
        <v>POLÍMERO</v>
      </c>
      <c r="Q128" s="295" t="str">
        <f t="shared" si="16"/>
        <v>ANTIGO</v>
      </c>
      <c r="R128" s="296" t="str">
        <f t="shared" si="16"/>
        <v>NOVO</v>
      </c>
      <c r="S128" s="295" t="str">
        <f t="shared" si="16"/>
        <v>ANTIGO</v>
      </c>
      <c r="T128" s="296" t="str">
        <f t="shared" si="16"/>
        <v>NOVO</v>
      </c>
      <c r="U128" s="381"/>
      <c r="V128" s="323"/>
      <c r="W128" s="315"/>
      <c r="X128" s="318"/>
      <c r="Y128" s="315"/>
      <c r="Z128" s="331"/>
      <c r="AA128" s="308"/>
      <c r="AB128" s="308"/>
      <c r="AC128" s="640"/>
      <c r="AD128" s="380"/>
      <c r="AE128" s="642"/>
      <c r="AF128" s="368"/>
      <c r="AG128" s="291" t="str">
        <f>AG50</f>
        <v>ANTIGO</v>
      </c>
      <c r="AH128" s="291" t="str">
        <f t="shared" ref="AH128:AS128" si="17">AH50</f>
        <v>NOVO</v>
      </c>
      <c r="AI128" s="291" t="str">
        <f t="shared" si="17"/>
        <v>ANTIGO</v>
      </c>
      <c r="AJ128" s="291" t="str">
        <f t="shared" si="17"/>
        <v>NOVO</v>
      </c>
      <c r="AK128" s="291" t="str">
        <f t="shared" si="17"/>
        <v>ANTIGO</v>
      </c>
      <c r="AL128" s="291" t="str">
        <f t="shared" si="17"/>
        <v>NOVO</v>
      </c>
      <c r="AM128" s="291" t="str">
        <f t="shared" si="17"/>
        <v>ANTIGO</v>
      </c>
      <c r="AN128" s="291" t="str">
        <f t="shared" si="17"/>
        <v>NOVO</v>
      </c>
      <c r="AO128" s="291" t="str">
        <f t="shared" si="17"/>
        <v>POLÍMERO</v>
      </c>
      <c r="AP128" s="291" t="str">
        <f t="shared" si="17"/>
        <v>ANTIGO</v>
      </c>
      <c r="AQ128" s="291" t="str">
        <f t="shared" si="17"/>
        <v>NOVO</v>
      </c>
      <c r="AR128" s="291" t="str">
        <f t="shared" si="17"/>
        <v>ANTIGO</v>
      </c>
      <c r="AS128" s="291" t="str">
        <f t="shared" si="17"/>
        <v>NOVO</v>
      </c>
      <c r="AT128" s="381"/>
      <c r="AU128" s="323"/>
      <c r="AV128" s="315"/>
      <c r="AW128" s="318"/>
      <c r="AX128" s="315"/>
      <c r="AY128" s="331"/>
      <c r="AZ128" s="308"/>
      <c r="BA128" s="300"/>
      <c r="BB128" s="201"/>
      <c r="BC128" s="201"/>
      <c r="BD128" s="201"/>
    </row>
    <row r="129" spans="1:56" s="10" customFormat="1" ht="5.0999999999999996" customHeight="1" thickBot="1" x14ac:dyDescent="0.25">
      <c r="A129" s="301"/>
      <c r="B129" s="308"/>
      <c r="C129" s="315"/>
      <c r="D129" s="640"/>
      <c r="E129" s="380"/>
      <c r="F129" s="642"/>
      <c r="G129" s="368"/>
      <c r="H129" s="368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81"/>
      <c r="V129" s="323"/>
      <c r="W129" s="315"/>
      <c r="X129" s="318"/>
      <c r="Y129" s="315"/>
      <c r="Z129" s="331"/>
      <c r="AA129" s="308"/>
      <c r="AB129" s="308"/>
      <c r="AC129" s="640"/>
      <c r="AD129" s="380"/>
      <c r="AE129" s="642"/>
      <c r="AF129" s="368"/>
      <c r="AG129" s="368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81"/>
      <c r="AU129" s="323"/>
      <c r="AV129" s="315"/>
      <c r="AW129" s="318"/>
      <c r="AX129" s="315"/>
      <c r="AY129" s="331"/>
      <c r="AZ129" s="308"/>
      <c r="BA129" s="300"/>
      <c r="BB129" s="201"/>
      <c r="BC129" s="201"/>
      <c r="BD129" s="201"/>
    </row>
    <row r="130" spans="1:56" customFormat="1" ht="13.5" thickBot="1" x14ac:dyDescent="0.25">
      <c r="A130" s="301"/>
      <c r="B130" s="308"/>
      <c r="C130" s="315"/>
      <c r="D130" s="640"/>
      <c r="E130" s="380"/>
      <c r="F130" s="643"/>
      <c r="G130" s="368"/>
      <c r="H130" s="361">
        <f t="shared" ref="H130:T130" si="18">H121</f>
        <v>30</v>
      </c>
      <c r="I130" s="362">
        <f t="shared" si="18"/>
        <v>0</v>
      </c>
      <c r="J130" s="361">
        <f t="shared" si="18"/>
        <v>0</v>
      </c>
      <c r="K130" s="362">
        <f t="shared" si="18"/>
        <v>0</v>
      </c>
      <c r="L130" s="361">
        <f t="shared" si="18"/>
        <v>0</v>
      </c>
      <c r="M130" s="362">
        <f t="shared" si="18"/>
        <v>0</v>
      </c>
      <c r="N130" s="361">
        <f t="shared" si="18"/>
        <v>0</v>
      </c>
      <c r="O130" s="363">
        <f t="shared" si="18"/>
        <v>0</v>
      </c>
      <c r="P130" s="362">
        <f t="shared" si="18"/>
        <v>0</v>
      </c>
      <c r="Q130" s="361">
        <f t="shared" si="18"/>
        <v>0</v>
      </c>
      <c r="R130" s="362">
        <f t="shared" si="18"/>
        <v>0</v>
      </c>
      <c r="S130" s="361">
        <f t="shared" si="18"/>
        <v>0</v>
      </c>
      <c r="T130" s="362">
        <f t="shared" si="18"/>
        <v>0</v>
      </c>
      <c r="U130" s="381"/>
      <c r="V130" s="323"/>
      <c r="W130" s="315"/>
      <c r="X130" s="318"/>
      <c r="Y130" s="315"/>
      <c r="Z130" s="331"/>
      <c r="AA130" s="308"/>
      <c r="AB130" s="308"/>
      <c r="AC130" s="640"/>
      <c r="AD130" s="380"/>
      <c r="AE130" s="643"/>
      <c r="AF130" s="368"/>
      <c r="AG130" s="359">
        <f t="shared" ref="AG130:AS130" si="19">AG121</f>
        <v>20</v>
      </c>
      <c r="AH130" s="359">
        <f t="shared" si="19"/>
        <v>0</v>
      </c>
      <c r="AI130" s="359">
        <f t="shared" si="19"/>
        <v>60</v>
      </c>
      <c r="AJ130" s="359">
        <f t="shared" si="19"/>
        <v>0</v>
      </c>
      <c r="AK130" s="359">
        <f t="shared" si="19"/>
        <v>0</v>
      </c>
      <c r="AL130" s="359">
        <f t="shared" si="19"/>
        <v>0</v>
      </c>
      <c r="AM130" s="359">
        <f t="shared" si="19"/>
        <v>0</v>
      </c>
      <c r="AN130" s="359">
        <f t="shared" si="19"/>
        <v>0</v>
      </c>
      <c r="AO130" s="359">
        <f t="shared" si="19"/>
        <v>0</v>
      </c>
      <c r="AP130" s="359">
        <f t="shared" si="19"/>
        <v>0</v>
      </c>
      <c r="AQ130" s="359">
        <f t="shared" si="19"/>
        <v>0</v>
      </c>
      <c r="AR130" s="359">
        <f t="shared" si="19"/>
        <v>0</v>
      </c>
      <c r="AS130" s="359">
        <f t="shared" si="19"/>
        <v>0</v>
      </c>
      <c r="AT130" s="381"/>
      <c r="AU130" s="323"/>
      <c r="AV130" s="315"/>
      <c r="AW130" s="318"/>
      <c r="AX130" s="315"/>
      <c r="AY130" s="331"/>
      <c r="AZ130" s="308"/>
      <c r="BA130" s="300"/>
      <c r="BB130" s="206"/>
      <c r="BC130" s="206"/>
      <c r="BD130" s="206"/>
    </row>
    <row r="131" spans="1:56" customFormat="1" ht="5.0999999999999996" customHeight="1" thickBot="1" x14ac:dyDescent="0.25">
      <c r="A131" s="301"/>
      <c r="B131" s="308"/>
      <c r="C131" s="315"/>
      <c r="D131" s="640"/>
      <c r="E131" s="380"/>
      <c r="F131" s="372"/>
      <c r="G131" s="368"/>
      <c r="H131" s="368"/>
      <c r="I131" s="373" t="s">
        <v>18</v>
      </c>
      <c r="J131" s="373"/>
      <c r="K131" s="373" t="s">
        <v>18</v>
      </c>
      <c r="L131" s="373"/>
      <c r="M131" s="373" t="s">
        <v>18</v>
      </c>
      <c r="N131" s="373"/>
      <c r="O131" s="373"/>
      <c r="P131" s="373" t="s">
        <v>18</v>
      </c>
      <c r="Q131" s="373"/>
      <c r="R131" s="373" t="s">
        <v>18</v>
      </c>
      <c r="S131" s="373"/>
      <c r="T131" s="373" t="s">
        <v>18</v>
      </c>
      <c r="U131" s="381"/>
      <c r="V131" s="323"/>
      <c r="W131" s="315"/>
      <c r="X131" s="318"/>
      <c r="Y131" s="315"/>
      <c r="Z131" s="331"/>
      <c r="AA131" s="308"/>
      <c r="AB131" s="308"/>
      <c r="AC131" s="640"/>
      <c r="AD131" s="380"/>
      <c r="AE131" s="372"/>
      <c r="AF131" s="368"/>
      <c r="AG131" s="368"/>
      <c r="AH131" s="373" t="s">
        <v>18</v>
      </c>
      <c r="AI131" s="373"/>
      <c r="AJ131" s="373" t="s">
        <v>18</v>
      </c>
      <c r="AK131" s="373"/>
      <c r="AL131" s="373" t="s">
        <v>18</v>
      </c>
      <c r="AM131" s="373"/>
      <c r="AN131" s="373"/>
      <c r="AO131" s="373" t="s">
        <v>18</v>
      </c>
      <c r="AP131" s="373"/>
      <c r="AQ131" s="373" t="s">
        <v>18</v>
      </c>
      <c r="AR131" s="373"/>
      <c r="AS131" s="373" t="s">
        <v>18</v>
      </c>
      <c r="AT131" s="381"/>
      <c r="AU131" s="323"/>
      <c r="AV131" s="315"/>
      <c r="AW131" s="318"/>
      <c r="AX131" s="315"/>
      <c r="AY131" s="331"/>
      <c r="AZ131" s="308"/>
      <c r="BA131" s="300"/>
      <c r="BB131" s="206"/>
      <c r="BC131" s="206"/>
      <c r="BD131" s="206"/>
    </row>
    <row r="132" spans="1:56" s="10" customFormat="1" ht="13.5" thickBot="1" x14ac:dyDescent="0.25">
      <c r="A132" s="301"/>
      <c r="B132" s="308"/>
      <c r="C132" s="315"/>
      <c r="D132" s="640"/>
      <c r="E132" s="380"/>
      <c r="F132" s="641" t="s">
        <v>1</v>
      </c>
      <c r="G132" s="368"/>
      <c r="H132" s="637">
        <f>H127*(I130+H130)</f>
        <v>3000</v>
      </c>
      <c r="I132" s="638"/>
      <c r="J132" s="637">
        <f>J127*(K130+J130)</f>
        <v>0</v>
      </c>
      <c r="K132" s="638"/>
      <c r="L132" s="637">
        <f>L127*(M130+L130)</f>
        <v>0</v>
      </c>
      <c r="M132" s="638"/>
      <c r="N132" s="637">
        <f>N127*(P130+N130+O130)</f>
        <v>0</v>
      </c>
      <c r="O132" s="639"/>
      <c r="P132" s="638"/>
      <c r="Q132" s="637">
        <f>Q127*(R130+Q130)</f>
        <v>0</v>
      </c>
      <c r="R132" s="638"/>
      <c r="S132" s="637">
        <f>S127*(T130+S130)</f>
        <v>0</v>
      </c>
      <c r="T132" s="638"/>
      <c r="U132" s="381"/>
      <c r="V132" s="323"/>
      <c r="W132" s="308"/>
      <c r="X132" s="329"/>
      <c r="Y132" s="308"/>
      <c r="Z132" s="314"/>
      <c r="AA132" s="308"/>
      <c r="AB132" s="308"/>
      <c r="AC132" s="640"/>
      <c r="AD132" s="380"/>
      <c r="AE132" s="641" t="s">
        <v>1</v>
      </c>
      <c r="AF132" s="368"/>
      <c r="AG132" s="637">
        <f>AG127*(AH130+AG130)</f>
        <v>2000</v>
      </c>
      <c r="AH132" s="638"/>
      <c r="AI132" s="637">
        <f>AI127*(AJ130+AI130)</f>
        <v>3000</v>
      </c>
      <c r="AJ132" s="638"/>
      <c r="AK132" s="637">
        <f>AK127*(AL130+AK130)</f>
        <v>0</v>
      </c>
      <c r="AL132" s="638"/>
      <c r="AM132" s="637">
        <f>AM127*(AO130+AM130+AN130)</f>
        <v>0</v>
      </c>
      <c r="AN132" s="639"/>
      <c r="AO132" s="638"/>
      <c r="AP132" s="637">
        <f>AP127*(AQ130+AP130)</f>
        <v>0</v>
      </c>
      <c r="AQ132" s="638"/>
      <c r="AR132" s="637">
        <f>AR127*(AS130+AR130)</f>
        <v>0</v>
      </c>
      <c r="AS132" s="638"/>
      <c r="AT132" s="381"/>
      <c r="AU132" s="323"/>
      <c r="AV132" s="308"/>
      <c r="AW132" s="329"/>
      <c r="AX132" s="308"/>
      <c r="AY132" s="314"/>
      <c r="AZ132" s="308"/>
      <c r="BA132" s="300"/>
      <c r="BB132" s="201"/>
      <c r="BC132" s="201"/>
      <c r="BD132" s="201"/>
    </row>
    <row r="133" spans="1:56" s="10" customFormat="1" ht="13.5" thickBot="1" x14ac:dyDescent="0.25">
      <c r="A133" s="301"/>
      <c r="B133" s="308"/>
      <c r="C133" s="315"/>
      <c r="D133" s="640"/>
      <c r="E133" s="380"/>
      <c r="F133" s="642"/>
      <c r="G133" s="368"/>
      <c r="H133" s="368"/>
      <c r="I133" s="374"/>
      <c r="J133" s="375"/>
      <c r="K133" s="375"/>
      <c r="L133" s="375"/>
      <c r="M133" s="375"/>
      <c r="N133" s="375"/>
      <c r="O133" s="375"/>
      <c r="P133" s="375"/>
      <c r="Q133" s="375"/>
      <c r="R133" s="375"/>
      <c r="S133" s="375"/>
      <c r="T133" s="375"/>
      <c r="U133" s="381"/>
      <c r="V133" s="323"/>
      <c r="W133" s="308"/>
      <c r="X133" s="329"/>
      <c r="Y133" s="308"/>
      <c r="Z133" s="314"/>
      <c r="AA133" s="308"/>
      <c r="AB133" s="308"/>
      <c r="AC133" s="640"/>
      <c r="AD133" s="380"/>
      <c r="AE133" s="642"/>
      <c r="AF133" s="368"/>
      <c r="AG133" s="368"/>
      <c r="AH133" s="374"/>
      <c r="AI133" s="375"/>
      <c r="AJ133" s="375"/>
      <c r="AK133" s="375"/>
      <c r="AL133" s="375"/>
      <c r="AM133" s="375"/>
      <c r="AN133" s="375"/>
      <c r="AO133" s="375"/>
      <c r="AP133" s="375"/>
      <c r="AQ133" s="375"/>
      <c r="AR133" s="375"/>
      <c r="AS133" s="375"/>
      <c r="AT133" s="381"/>
      <c r="AU133" s="323"/>
      <c r="AV133" s="308"/>
      <c r="AW133" s="329"/>
      <c r="AX133" s="308"/>
      <c r="AY133" s="314"/>
      <c r="AZ133" s="308"/>
      <c r="BA133" s="300"/>
      <c r="BB133" s="201"/>
      <c r="BC133" s="201"/>
      <c r="BD133" s="201"/>
    </row>
    <row r="134" spans="1:56" s="10" customFormat="1" ht="13.5" thickBot="1" x14ac:dyDescent="0.25">
      <c r="A134" s="301"/>
      <c r="B134" s="308"/>
      <c r="C134" s="315"/>
      <c r="D134" s="640"/>
      <c r="E134" s="380"/>
      <c r="F134" s="643"/>
      <c r="G134" s="368"/>
      <c r="H134" s="644">
        <f>SUM(H132:S132)</f>
        <v>3000</v>
      </c>
      <c r="I134" s="645"/>
      <c r="J134" s="645"/>
      <c r="K134" s="645"/>
      <c r="L134" s="645"/>
      <c r="M134" s="645"/>
      <c r="N134" s="645"/>
      <c r="O134" s="645"/>
      <c r="P134" s="645"/>
      <c r="Q134" s="645"/>
      <c r="R134" s="645"/>
      <c r="S134" s="645"/>
      <c r="T134" s="646"/>
      <c r="U134" s="381"/>
      <c r="V134" s="317"/>
      <c r="W134" s="308"/>
      <c r="X134" s="308"/>
      <c r="Y134" s="308"/>
      <c r="Z134" s="314"/>
      <c r="AA134" s="308"/>
      <c r="AB134" s="308"/>
      <c r="AC134" s="640"/>
      <c r="AD134" s="380"/>
      <c r="AE134" s="643"/>
      <c r="AF134" s="368"/>
      <c r="AG134" s="644">
        <f>SUM(AG132:AS132)</f>
        <v>5000</v>
      </c>
      <c r="AH134" s="645"/>
      <c r="AI134" s="645"/>
      <c r="AJ134" s="645"/>
      <c r="AK134" s="645"/>
      <c r="AL134" s="645"/>
      <c r="AM134" s="645"/>
      <c r="AN134" s="645"/>
      <c r="AO134" s="645"/>
      <c r="AP134" s="645"/>
      <c r="AQ134" s="645"/>
      <c r="AR134" s="645"/>
      <c r="AS134" s="646"/>
      <c r="AT134" s="381"/>
      <c r="AU134" s="317"/>
      <c r="AV134" s="308"/>
      <c r="AW134" s="308"/>
      <c r="AX134" s="308"/>
      <c r="AY134" s="314"/>
      <c r="AZ134" s="308"/>
      <c r="BA134" s="300"/>
      <c r="BB134" s="201"/>
      <c r="BC134" s="201"/>
      <c r="BD134" s="201"/>
    </row>
    <row r="135" spans="1:56" s="10" customFormat="1" ht="13.5" thickBot="1" x14ac:dyDescent="0.25">
      <c r="A135" s="301"/>
      <c r="B135" s="308"/>
      <c r="C135" s="315"/>
      <c r="D135" s="310"/>
      <c r="E135" s="380"/>
      <c r="F135" s="369"/>
      <c r="G135" s="368"/>
      <c r="H135" s="368"/>
      <c r="I135" s="370"/>
      <c r="J135" s="370"/>
      <c r="K135" s="370"/>
      <c r="L135" s="370"/>
      <c r="M135" s="370"/>
      <c r="N135" s="370"/>
      <c r="O135" s="370"/>
      <c r="P135" s="370"/>
      <c r="Q135" s="370"/>
      <c r="R135" s="370"/>
      <c r="S135" s="370"/>
      <c r="T135" s="370"/>
      <c r="U135" s="381"/>
      <c r="V135" s="317"/>
      <c r="W135" s="308"/>
      <c r="X135" s="308"/>
      <c r="Y135" s="308"/>
      <c r="Z135" s="314"/>
      <c r="AA135" s="308"/>
      <c r="AB135" s="308"/>
      <c r="AC135" s="310"/>
      <c r="AD135" s="380"/>
      <c r="AE135" s="369"/>
      <c r="AF135" s="368"/>
      <c r="AG135" s="368"/>
      <c r="AH135" s="370"/>
      <c r="AI135" s="370"/>
      <c r="AJ135" s="370"/>
      <c r="AK135" s="370"/>
      <c r="AL135" s="370"/>
      <c r="AM135" s="370"/>
      <c r="AN135" s="370"/>
      <c r="AO135" s="370"/>
      <c r="AP135" s="370"/>
      <c r="AQ135" s="370"/>
      <c r="AR135" s="370"/>
      <c r="AS135" s="370"/>
      <c r="AT135" s="381"/>
      <c r="AU135" s="317"/>
      <c r="AV135" s="315"/>
      <c r="AW135" s="315"/>
      <c r="AX135" s="308"/>
      <c r="AY135" s="314"/>
      <c r="AZ135" s="308"/>
      <c r="BA135" s="300"/>
      <c r="BB135" s="201"/>
      <c r="BC135" s="201"/>
      <c r="BD135" s="201"/>
    </row>
    <row r="136" spans="1:56" ht="12.75" customHeight="1" thickBot="1" x14ac:dyDescent="0.25">
      <c r="A136" s="181"/>
      <c r="B136" s="306"/>
      <c r="C136" s="306"/>
      <c r="D136" s="306"/>
      <c r="E136" s="382"/>
      <c r="F136" s="367"/>
      <c r="G136" s="383"/>
      <c r="H136" s="383"/>
      <c r="I136" s="383"/>
      <c r="J136" s="383"/>
      <c r="K136" s="367"/>
      <c r="L136" s="628">
        <f>H134+AG134</f>
        <v>8000</v>
      </c>
      <c r="M136" s="629"/>
      <c r="N136" s="629"/>
      <c r="O136" s="629"/>
      <c r="P136" s="629"/>
      <c r="Q136" s="629"/>
      <c r="R136" s="629"/>
      <c r="S136" s="629"/>
      <c r="T136" s="630"/>
      <c r="U136" s="384"/>
      <c r="V136" s="306"/>
      <c r="W136" s="306"/>
      <c r="X136" s="306"/>
      <c r="Y136" s="306"/>
      <c r="Z136" s="306"/>
      <c r="AA136" s="306"/>
      <c r="AB136" s="306"/>
      <c r="AC136" s="306"/>
      <c r="AD136" s="385"/>
      <c r="AE136" s="386"/>
      <c r="AF136" s="387"/>
      <c r="AG136" s="387"/>
      <c r="AH136" s="387"/>
      <c r="AI136" s="387"/>
      <c r="AJ136" s="386"/>
      <c r="AK136" s="386"/>
      <c r="AL136" s="386"/>
      <c r="AM136" s="386"/>
      <c r="AN136" s="386"/>
      <c r="AO136" s="386"/>
      <c r="AP136" s="386"/>
      <c r="AQ136" s="386"/>
      <c r="AR136" s="386"/>
      <c r="AS136" s="386"/>
      <c r="AT136" s="388"/>
      <c r="AU136" s="306"/>
      <c r="AV136" s="306"/>
      <c r="AW136" s="306"/>
      <c r="AX136" s="306"/>
      <c r="AY136" s="306"/>
      <c r="AZ136" s="306"/>
      <c r="BA136" s="299"/>
      <c r="BB136" s="184"/>
      <c r="BC136" s="184"/>
      <c r="BD136" s="184"/>
    </row>
    <row r="137" spans="1:56" ht="13.5" customHeight="1" thickBot="1" x14ac:dyDescent="0.25">
      <c r="A137" s="181"/>
      <c r="B137" s="306"/>
      <c r="C137" s="306"/>
      <c r="D137" s="306"/>
      <c r="E137" s="382"/>
      <c r="F137" s="367"/>
      <c r="G137" s="383"/>
      <c r="H137" s="383"/>
      <c r="I137" s="383"/>
      <c r="J137" s="383"/>
      <c r="K137" s="367"/>
      <c r="L137" s="631"/>
      <c r="M137" s="632"/>
      <c r="N137" s="632"/>
      <c r="O137" s="632"/>
      <c r="P137" s="632"/>
      <c r="Q137" s="632"/>
      <c r="R137" s="632"/>
      <c r="S137" s="632"/>
      <c r="T137" s="633"/>
      <c r="U137" s="384"/>
      <c r="V137" s="306"/>
      <c r="W137" s="306"/>
      <c r="X137" s="306"/>
      <c r="Y137" s="306"/>
      <c r="Z137" s="306"/>
      <c r="AA137" s="306"/>
      <c r="AB137" s="306"/>
      <c r="AC137" s="306"/>
      <c r="AD137" s="306"/>
      <c r="AE137" s="306"/>
      <c r="AF137" s="356"/>
      <c r="AG137" s="356"/>
      <c r="AH137" s="356"/>
      <c r="AI137" s="356"/>
      <c r="AJ137" s="306"/>
      <c r="AK137" s="306"/>
      <c r="AL137" s="306"/>
      <c r="AM137" s="306"/>
      <c r="AN137" s="306"/>
      <c r="AO137" s="306"/>
      <c r="AP137" s="306"/>
      <c r="AQ137" s="306"/>
      <c r="AR137" s="306"/>
      <c r="AS137" s="306"/>
      <c r="AT137" s="306"/>
      <c r="AU137" s="306"/>
      <c r="AV137" s="306"/>
      <c r="AW137" s="306"/>
      <c r="AX137" s="306"/>
      <c r="AY137" s="306"/>
      <c r="AZ137" s="306"/>
      <c r="BA137" s="299"/>
      <c r="BB137" s="184"/>
      <c r="BC137" s="184"/>
      <c r="BD137" s="184"/>
    </row>
    <row r="138" spans="1:56" ht="13.5" thickBot="1" x14ac:dyDescent="0.25">
      <c r="A138" s="181"/>
      <c r="B138" s="306"/>
      <c r="C138" s="306"/>
      <c r="D138" s="306"/>
      <c r="E138" s="385"/>
      <c r="F138" s="386"/>
      <c r="G138" s="387"/>
      <c r="H138" s="387"/>
      <c r="I138" s="387"/>
      <c r="J138" s="387"/>
      <c r="K138" s="386"/>
      <c r="L138" s="386"/>
      <c r="M138" s="386"/>
      <c r="N138" s="386"/>
      <c r="O138" s="386"/>
      <c r="P138" s="386"/>
      <c r="Q138" s="386"/>
      <c r="R138" s="386"/>
      <c r="S138" s="386"/>
      <c r="T138" s="386"/>
      <c r="U138" s="388"/>
      <c r="V138" s="306"/>
      <c r="W138" s="306"/>
      <c r="X138" s="306"/>
      <c r="Y138" s="306"/>
      <c r="Z138" s="306"/>
      <c r="AA138" s="306"/>
      <c r="AB138" s="306"/>
      <c r="AC138" s="306"/>
      <c r="AD138" s="306"/>
      <c r="AE138" s="306"/>
      <c r="AF138" s="356"/>
      <c r="AG138" s="356"/>
      <c r="AH138" s="356"/>
      <c r="AI138" s="356"/>
      <c r="AJ138" s="306"/>
      <c r="AK138" s="306"/>
      <c r="AL138" s="306"/>
      <c r="AM138" s="306"/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/>
      <c r="AY138" s="306"/>
      <c r="AZ138" s="306"/>
      <c r="BA138" s="299"/>
      <c r="BB138" s="184"/>
      <c r="BC138" s="184"/>
      <c r="BD138" s="184"/>
    </row>
    <row r="139" spans="1:56" ht="13.5" thickBot="1" x14ac:dyDescent="0.25">
      <c r="A139" s="181"/>
      <c r="B139" s="306"/>
      <c r="C139" s="306"/>
      <c r="D139" s="306"/>
      <c r="E139" s="306"/>
      <c r="F139" s="306"/>
      <c r="G139" s="356"/>
      <c r="H139" s="356"/>
      <c r="I139" s="356"/>
      <c r="J139" s="356"/>
      <c r="K139" s="306"/>
      <c r="L139" s="306"/>
      <c r="M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6"/>
      <c r="X139" s="306"/>
      <c r="Y139" s="306"/>
      <c r="Z139" s="306"/>
      <c r="AA139" s="306"/>
      <c r="AB139" s="306"/>
      <c r="AC139" s="306"/>
      <c r="AD139" s="306"/>
      <c r="AE139" s="306"/>
      <c r="AF139" s="356"/>
      <c r="AG139" s="356"/>
      <c r="AH139" s="356"/>
      <c r="AI139" s="356"/>
      <c r="AJ139" s="306"/>
      <c r="AK139" s="306"/>
      <c r="AL139" s="306"/>
      <c r="AM139" s="306"/>
      <c r="AN139" s="306"/>
      <c r="AO139" s="306"/>
      <c r="AP139" s="306"/>
      <c r="AQ139" s="306"/>
      <c r="AR139" s="306"/>
      <c r="AS139" s="306"/>
      <c r="AT139" s="306"/>
      <c r="AU139" s="306"/>
      <c r="AV139" s="306"/>
      <c r="AW139" s="306"/>
      <c r="AX139" s="306"/>
      <c r="AY139" s="306"/>
      <c r="AZ139" s="306"/>
      <c r="BA139" s="299"/>
      <c r="BB139" s="184"/>
      <c r="BC139" s="184"/>
      <c r="BD139" s="184"/>
    </row>
    <row r="140" spans="1:56" ht="12.75" customHeight="1" x14ac:dyDescent="0.2">
      <c r="A140" s="181"/>
      <c r="B140" s="304"/>
      <c r="C140" s="657"/>
      <c r="D140" s="658"/>
      <c r="E140" s="658"/>
      <c r="F140" s="658"/>
      <c r="G140" s="655"/>
      <c r="H140" s="655"/>
      <c r="I140" s="655"/>
      <c r="J140" s="655"/>
      <c r="K140" s="655"/>
      <c r="L140" s="655"/>
      <c r="M140" s="655"/>
      <c r="N140" s="218"/>
      <c r="O140" s="218"/>
      <c r="P140" s="651"/>
      <c r="Q140" s="651"/>
      <c r="R140" s="651"/>
      <c r="S140" s="651"/>
      <c r="T140" s="651"/>
      <c r="U140" s="651"/>
      <c r="V140" s="651"/>
      <c r="W140" s="651"/>
      <c r="X140" s="651"/>
      <c r="Y140" s="651"/>
      <c r="Z140" s="651"/>
      <c r="AA140" s="651"/>
      <c r="AB140" s="651"/>
      <c r="AC140" s="651"/>
      <c r="AD140" s="651"/>
      <c r="AE140" s="651"/>
      <c r="AF140" s="651"/>
      <c r="AG140" s="651"/>
      <c r="AH140" s="651"/>
      <c r="AI140" s="651"/>
      <c r="AJ140" s="651"/>
      <c r="AK140" s="651"/>
      <c r="AL140" s="651"/>
      <c r="AM140" s="651"/>
      <c r="AN140" s="651"/>
      <c r="AO140" s="651"/>
      <c r="AP140" s="651"/>
      <c r="AQ140" s="651"/>
      <c r="AR140" s="651"/>
      <c r="AS140" s="651"/>
      <c r="AT140" s="651"/>
      <c r="AU140" s="651"/>
      <c r="AV140" s="651"/>
      <c r="AW140" s="651"/>
      <c r="AX140" s="651"/>
      <c r="AY140" s="652"/>
      <c r="AZ140" s="306"/>
      <c r="BA140" s="299"/>
      <c r="BB140" s="184"/>
      <c r="BC140" s="184"/>
      <c r="BD140" s="184"/>
    </row>
    <row r="141" spans="1:56" ht="12.75" customHeight="1" thickBot="1" x14ac:dyDescent="0.25">
      <c r="A141" s="181"/>
      <c r="B141" s="304"/>
      <c r="C141" s="659"/>
      <c r="D141" s="660"/>
      <c r="E141" s="660"/>
      <c r="F141" s="660"/>
      <c r="G141" s="656"/>
      <c r="H141" s="656"/>
      <c r="I141" s="656"/>
      <c r="J141" s="656"/>
      <c r="K141" s="656"/>
      <c r="L141" s="656"/>
      <c r="M141" s="656"/>
      <c r="N141" s="253"/>
      <c r="O141" s="253"/>
      <c r="P141" s="653"/>
      <c r="Q141" s="653"/>
      <c r="R141" s="653"/>
      <c r="S141" s="653"/>
      <c r="T141" s="653"/>
      <c r="U141" s="653"/>
      <c r="V141" s="653"/>
      <c r="W141" s="653"/>
      <c r="X141" s="653"/>
      <c r="Y141" s="653"/>
      <c r="Z141" s="653"/>
      <c r="AA141" s="653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3"/>
      <c r="AQ141" s="653"/>
      <c r="AR141" s="653"/>
      <c r="AS141" s="653"/>
      <c r="AT141" s="653"/>
      <c r="AU141" s="653"/>
      <c r="AV141" s="653"/>
      <c r="AW141" s="653"/>
      <c r="AX141" s="653"/>
      <c r="AY141" s="654"/>
      <c r="AZ141" s="306"/>
      <c r="BA141" s="299"/>
      <c r="BB141" s="184"/>
      <c r="BC141" s="184"/>
      <c r="BD141" s="184"/>
    </row>
    <row r="142" spans="1:56" ht="12.75" customHeight="1" x14ac:dyDescent="0.2">
      <c r="A142" s="181"/>
      <c r="B142" s="304"/>
      <c r="C142" s="304"/>
      <c r="D142" s="350"/>
      <c r="E142" s="322"/>
      <c r="F142" s="322"/>
      <c r="G142" s="322"/>
      <c r="H142" s="322"/>
      <c r="I142" s="304"/>
      <c r="J142" s="304"/>
      <c r="K142" s="305"/>
      <c r="L142" s="305"/>
      <c r="M142" s="304"/>
      <c r="N142" s="304"/>
      <c r="O142" s="304"/>
      <c r="P142" s="304"/>
      <c r="Q142" s="304"/>
      <c r="R142" s="304"/>
      <c r="S142" s="304"/>
      <c r="T142" s="333"/>
      <c r="U142" s="304"/>
      <c r="V142" s="334"/>
      <c r="W142" s="304"/>
      <c r="X142" s="304"/>
      <c r="Y142" s="304"/>
      <c r="Z142" s="304"/>
      <c r="AA142" s="304"/>
      <c r="AB142" s="304"/>
      <c r="AC142" s="350"/>
      <c r="AD142" s="322"/>
      <c r="AE142" s="322"/>
      <c r="AF142" s="322"/>
      <c r="AG142" s="322"/>
      <c r="AH142" s="304"/>
      <c r="AI142" s="304"/>
      <c r="AJ142" s="305"/>
      <c r="AK142" s="305"/>
      <c r="AL142" s="304"/>
      <c r="AM142" s="304"/>
      <c r="AN142" s="304"/>
      <c r="AO142" s="304"/>
      <c r="AP142" s="304"/>
      <c r="AQ142" s="304"/>
      <c r="AR142" s="304"/>
      <c r="AS142" s="333"/>
      <c r="AT142" s="304"/>
      <c r="AU142" s="334"/>
      <c r="AV142" s="304"/>
      <c r="AW142" s="304"/>
      <c r="AX142" s="304"/>
      <c r="AY142" s="304"/>
      <c r="AZ142" s="306"/>
      <c r="BA142" s="299"/>
      <c r="BB142" s="184"/>
      <c r="BC142" s="184"/>
      <c r="BD142" s="184"/>
    </row>
    <row r="143" spans="1:56" ht="9.9499999999999993" customHeight="1" x14ac:dyDescent="0.2">
      <c r="A143" s="181"/>
      <c r="B143" s="299"/>
      <c r="C143" s="299"/>
      <c r="D143" s="299"/>
      <c r="E143" s="299"/>
      <c r="F143" s="299"/>
      <c r="G143" s="302"/>
      <c r="H143" s="302"/>
      <c r="I143" s="302"/>
      <c r="J143" s="302"/>
      <c r="K143" s="299"/>
      <c r="L143" s="299"/>
      <c r="M143" s="299"/>
      <c r="N143" s="299"/>
      <c r="O143" s="299"/>
      <c r="P143" s="299"/>
      <c r="Q143" s="299"/>
      <c r="R143" s="299"/>
      <c r="S143" s="299"/>
      <c r="T143" s="299"/>
      <c r="U143" s="299"/>
      <c r="V143" s="299"/>
      <c r="W143" s="299"/>
      <c r="X143" s="299"/>
      <c r="Y143" s="299"/>
      <c r="Z143" s="299"/>
      <c r="AA143" s="299"/>
      <c r="AB143" s="299"/>
      <c r="AC143" s="299"/>
      <c r="AD143" s="299"/>
      <c r="AE143" s="299"/>
      <c r="AF143" s="302"/>
      <c r="AG143" s="302"/>
      <c r="AH143" s="302"/>
      <c r="AI143" s="302"/>
      <c r="AJ143" s="299"/>
      <c r="AK143" s="299"/>
      <c r="AL143" s="299"/>
      <c r="AM143" s="299"/>
      <c r="AN143" s="299"/>
      <c r="AO143" s="299"/>
      <c r="AP143" s="299"/>
      <c r="AQ143" s="299"/>
      <c r="AR143" s="299"/>
      <c r="AS143" s="299"/>
      <c r="AT143" s="299"/>
      <c r="AU143" s="299"/>
      <c r="AV143" s="299"/>
      <c r="AW143" s="299"/>
      <c r="AX143" s="299"/>
      <c r="AY143" s="299"/>
      <c r="AZ143" s="299"/>
      <c r="BA143" s="299"/>
      <c r="BB143" s="184"/>
      <c r="BC143" s="184"/>
      <c r="BD143" s="184"/>
    </row>
    <row r="144" spans="1:56" x14ac:dyDescent="0.2">
      <c r="B144" s="184"/>
      <c r="C144" s="184"/>
      <c r="D144" s="184"/>
      <c r="E144" s="184"/>
      <c r="F144" s="184"/>
      <c r="G144" s="276"/>
      <c r="H144" s="276"/>
      <c r="I144" s="1"/>
      <c r="J144" s="1"/>
      <c r="L144" s="216"/>
      <c r="M144" s="184"/>
      <c r="N144" s="184"/>
      <c r="O144" s="184"/>
      <c r="P144" s="184"/>
      <c r="Q144" s="184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  <c r="AD144" s="184"/>
      <c r="AE144" s="184"/>
      <c r="AF144" s="276"/>
      <c r="AG144" s="276"/>
      <c r="AH144" s="276"/>
      <c r="AI144" s="276"/>
      <c r="AJ144" s="184"/>
      <c r="AK144" s="184"/>
      <c r="AL144" s="184"/>
      <c r="AM144" s="184"/>
      <c r="AN144" s="184"/>
      <c r="AO144" s="184"/>
      <c r="AP144" s="184"/>
      <c r="AQ144" s="184"/>
      <c r="AR144" s="184"/>
      <c r="AS144" s="184"/>
      <c r="AT144" s="184"/>
      <c r="AU144" s="184"/>
      <c r="AV144" s="184"/>
      <c r="AW144" s="184"/>
      <c r="AX144" s="184"/>
      <c r="AY144" s="184"/>
      <c r="AZ144" s="184"/>
      <c r="BA144" s="303"/>
      <c r="BB144" s="184"/>
      <c r="BC144" s="184"/>
      <c r="BD144" s="184"/>
    </row>
    <row r="145" spans="2:56" x14ac:dyDescent="0.2">
      <c r="B145" s="184"/>
      <c r="C145" s="184"/>
      <c r="D145" s="184"/>
      <c r="E145" s="184"/>
      <c r="F145" s="184"/>
      <c r="G145" s="276"/>
      <c r="H145" s="276"/>
      <c r="I145" s="1"/>
      <c r="J145" s="1"/>
      <c r="L145" s="216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276"/>
      <c r="AG145" s="276"/>
      <c r="AH145" s="276"/>
      <c r="AI145" s="276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</row>
    <row r="146" spans="2:56" x14ac:dyDescent="0.2">
      <c r="B146" s="184"/>
      <c r="C146" s="184"/>
      <c r="D146" s="184"/>
      <c r="E146" s="184"/>
      <c r="F146" s="184"/>
      <c r="G146" s="276"/>
      <c r="H146" s="276"/>
      <c r="I146" s="1"/>
      <c r="J146" s="1"/>
      <c r="L146" s="216"/>
      <c r="M146" s="184"/>
      <c r="N146" s="184"/>
      <c r="O146" s="184"/>
      <c r="P146" s="184"/>
      <c r="Q146" s="184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  <c r="AD146" s="184"/>
      <c r="AE146" s="184"/>
      <c r="AF146" s="276"/>
      <c r="AG146" s="276"/>
      <c r="AH146" s="276"/>
      <c r="AI146" s="276"/>
      <c r="AJ146" s="184"/>
      <c r="AK146" s="184"/>
      <c r="AL146" s="184"/>
      <c r="AM146" s="184"/>
      <c r="AN146" s="184"/>
      <c r="AO146" s="184"/>
      <c r="AP146" s="184"/>
      <c r="AQ146" s="184"/>
      <c r="AR146" s="184"/>
      <c r="AS146" s="184"/>
      <c r="AT146" s="184"/>
      <c r="AU146" s="184"/>
      <c r="AV146" s="184"/>
      <c r="AW146" s="184"/>
      <c r="AX146" s="184"/>
      <c r="AY146" s="184"/>
      <c r="AZ146" s="184"/>
      <c r="BA146" s="184"/>
      <c r="BB146" s="184"/>
      <c r="BC146" s="184"/>
      <c r="BD146" s="184"/>
    </row>
    <row r="147" spans="2:56" x14ac:dyDescent="0.2">
      <c r="B147" s="184"/>
      <c r="C147" s="184"/>
      <c r="D147" s="184"/>
      <c r="E147" s="184"/>
      <c r="F147" s="184"/>
      <c r="G147" s="276"/>
      <c r="H147" s="276"/>
      <c r="I147" s="1"/>
      <c r="J147" s="1"/>
      <c r="L147" s="216"/>
      <c r="M147" s="184"/>
      <c r="N147" s="184"/>
      <c r="O147" s="184"/>
      <c r="P147" s="184"/>
      <c r="Q147" s="184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  <c r="AD147" s="184"/>
      <c r="AE147" s="184"/>
      <c r="AF147" s="276"/>
      <c r="AG147" s="276"/>
      <c r="AH147" s="276"/>
      <c r="AI147" s="276"/>
      <c r="AJ147" s="184"/>
      <c r="AK147" s="184"/>
      <c r="AL147" s="184"/>
      <c r="AM147" s="184"/>
      <c r="AN147" s="184"/>
      <c r="AO147" s="184"/>
      <c r="AP147" s="184"/>
      <c r="AQ147" s="184"/>
      <c r="AR147" s="184"/>
      <c r="AS147" s="184"/>
      <c r="AT147" s="184"/>
      <c r="AU147" s="184"/>
      <c r="AV147" s="184"/>
      <c r="AW147" s="184"/>
      <c r="AX147" s="184"/>
      <c r="AY147" s="184"/>
      <c r="AZ147" s="184"/>
      <c r="BA147" s="184"/>
      <c r="BB147" s="184"/>
      <c r="BC147" s="184"/>
      <c r="BD147" s="184"/>
    </row>
    <row r="148" spans="2:56" x14ac:dyDescent="0.2">
      <c r="B148" s="184"/>
      <c r="C148" s="184"/>
      <c r="D148" s="184"/>
      <c r="E148" s="184"/>
      <c r="F148" s="184"/>
      <c r="G148" s="276"/>
      <c r="H148" s="276"/>
      <c r="I148" s="1"/>
      <c r="J148" s="1"/>
      <c r="L148" s="216"/>
      <c r="M148" s="184"/>
      <c r="N148" s="184"/>
      <c r="O148" s="184"/>
      <c r="P148" s="184"/>
      <c r="Q148" s="184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  <c r="AD148" s="184"/>
      <c r="AE148" s="184"/>
      <c r="AF148" s="276"/>
      <c r="AG148" s="276"/>
      <c r="AH148" s="276"/>
      <c r="AI148" s="276"/>
      <c r="AJ148" s="184"/>
      <c r="AK148" s="184"/>
      <c r="AL148" s="184"/>
      <c r="AM148" s="184"/>
      <c r="AN148" s="184"/>
      <c r="AO148" s="184"/>
      <c r="AP148" s="184"/>
      <c r="AQ148" s="184"/>
      <c r="AR148" s="184"/>
      <c r="AS148" s="184"/>
      <c r="AT148" s="184"/>
      <c r="AU148" s="184"/>
      <c r="AV148" s="184"/>
      <c r="AW148" s="184"/>
      <c r="AX148" s="184"/>
      <c r="AY148" s="184"/>
      <c r="AZ148" s="184"/>
      <c r="BA148" s="184"/>
      <c r="BB148" s="184"/>
      <c r="BC148" s="184"/>
      <c r="BD148" s="184"/>
    </row>
    <row r="149" spans="2:56" ht="13.5" thickBot="1" x14ac:dyDescent="0.25">
      <c r="B149" s="184"/>
      <c r="C149" s="184"/>
      <c r="D149" s="184"/>
      <c r="E149" s="184"/>
      <c r="F149" s="416"/>
      <c r="G149" s="417"/>
      <c r="H149" s="417"/>
      <c r="I149" s="2"/>
      <c r="J149" s="2"/>
      <c r="K149" s="2"/>
      <c r="L149" s="216"/>
      <c r="M149" s="184"/>
      <c r="N149" s="184"/>
      <c r="O149" s="184"/>
      <c r="P149" s="184"/>
      <c r="Q149" s="184"/>
      <c r="R149" s="184"/>
      <c r="S149" s="184"/>
      <c r="T149" s="184"/>
      <c r="U149" s="184"/>
      <c r="V149" s="184"/>
      <c r="W149" s="184"/>
      <c r="X149" s="184"/>
      <c r="Y149" s="184"/>
      <c r="Z149" s="184"/>
      <c r="AA149" s="184"/>
      <c r="AB149" s="184"/>
      <c r="AC149" s="184"/>
      <c r="AD149" s="184"/>
      <c r="AE149" s="184"/>
      <c r="AF149" s="276"/>
      <c r="AG149" s="276"/>
      <c r="AH149" s="276"/>
      <c r="AI149" s="276"/>
      <c r="AJ149" s="184"/>
      <c r="AK149" s="184"/>
      <c r="AL149" s="184"/>
      <c r="AM149" s="184"/>
      <c r="AN149" s="184"/>
      <c r="AO149" s="184"/>
      <c r="AP149" s="184"/>
      <c r="AQ149" s="184"/>
      <c r="AR149" s="184"/>
      <c r="AS149" s="184"/>
      <c r="AT149" s="184"/>
      <c r="AU149" s="184"/>
      <c r="AV149" s="184"/>
      <c r="AW149" s="184"/>
      <c r="AX149" s="184"/>
      <c r="AY149" s="184"/>
      <c r="AZ149" s="184"/>
      <c r="BA149" s="184"/>
      <c r="BB149" s="184"/>
      <c r="BC149" s="184"/>
      <c r="BD149" s="184"/>
    </row>
    <row r="150" spans="2:56" ht="13.5" thickBot="1" x14ac:dyDescent="0.25">
      <c r="B150" s="184"/>
      <c r="C150" s="184"/>
      <c r="D150" s="184"/>
      <c r="E150" s="184"/>
      <c r="F150" s="594" t="s">
        <v>65</v>
      </c>
      <c r="G150" s="595"/>
      <c r="H150" s="596"/>
      <c r="I150" s="418"/>
      <c r="J150" s="418"/>
      <c r="K150" s="2"/>
      <c r="L150" s="216"/>
      <c r="M150" s="184"/>
      <c r="N150" s="184"/>
      <c r="O150" s="184"/>
      <c r="P150" s="184"/>
      <c r="Q150" s="184"/>
      <c r="R150" s="184"/>
      <c r="S150" s="184"/>
      <c r="T150" s="184"/>
      <c r="U150" s="184"/>
      <c r="V150" s="184"/>
      <c r="W150" s="184"/>
      <c r="X150" s="184"/>
      <c r="Y150" s="184"/>
      <c r="Z150" s="184"/>
      <c r="AA150" s="184"/>
      <c r="AB150" s="184"/>
      <c r="AC150" s="184"/>
      <c r="AD150" s="184"/>
      <c r="AE150" s="184"/>
      <c r="AF150" s="276"/>
      <c r="AG150" s="276"/>
      <c r="AH150" s="276"/>
      <c r="AI150" s="276"/>
      <c r="AJ150" s="184"/>
      <c r="AK150" s="184"/>
      <c r="AL150" s="184"/>
      <c r="AM150" s="184"/>
      <c r="AN150" s="184"/>
      <c r="AO150" s="184"/>
      <c r="AP150" s="184"/>
      <c r="AQ150" s="184"/>
      <c r="AR150" s="184"/>
      <c r="AS150" s="184"/>
      <c r="AT150" s="184"/>
      <c r="AU150" s="184"/>
      <c r="AV150" s="184"/>
      <c r="AW150" s="184"/>
      <c r="AX150" s="184"/>
      <c r="AY150" s="184"/>
      <c r="AZ150" s="184"/>
      <c r="BA150" s="184"/>
      <c r="BB150" s="184"/>
      <c r="BC150" s="184"/>
      <c r="BD150" s="184"/>
    </row>
    <row r="151" spans="2:56" x14ac:dyDescent="0.2">
      <c r="B151" s="184"/>
      <c r="C151" s="184"/>
      <c r="D151" s="184"/>
      <c r="E151" s="184"/>
      <c r="F151" s="424" t="s">
        <v>114</v>
      </c>
      <c r="G151" s="423"/>
      <c r="H151" s="424">
        <v>1</v>
      </c>
      <c r="I151" s="4"/>
      <c r="J151" s="4"/>
      <c r="K151" s="2"/>
      <c r="L151" s="216"/>
      <c r="M151" s="184"/>
      <c r="N151" s="184"/>
      <c r="O151" s="184"/>
      <c r="P151" s="184"/>
      <c r="Q151" s="184"/>
      <c r="R151" s="184"/>
      <c r="S151" s="184"/>
      <c r="T151" s="184"/>
      <c r="U151" s="184"/>
      <c r="V151" s="184"/>
      <c r="W151" s="184"/>
      <c r="X151" s="184"/>
      <c r="Y151" s="184"/>
      <c r="Z151" s="184"/>
      <c r="AA151" s="184"/>
      <c r="AB151" s="184"/>
      <c r="AC151" s="184"/>
      <c r="AD151" s="184"/>
      <c r="AE151" s="184"/>
      <c r="AF151" s="276"/>
      <c r="AG151" s="276"/>
      <c r="AH151" s="276"/>
      <c r="AI151" s="276"/>
      <c r="AJ151" s="184"/>
      <c r="AK151" s="184"/>
      <c r="AL151" s="184"/>
      <c r="AM151" s="184"/>
      <c r="AN151" s="184"/>
      <c r="AO151" s="184"/>
      <c r="AP151" s="184"/>
      <c r="AQ151" s="184"/>
      <c r="AR151" s="184"/>
      <c r="AS151" s="184"/>
      <c r="AT151" s="184"/>
      <c r="AU151" s="184"/>
      <c r="AV151" s="184"/>
      <c r="AW151" s="184"/>
      <c r="AX151" s="184"/>
      <c r="AY151" s="184"/>
      <c r="AZ151" s="184"/>
      <c r="BA151" s="184"/>
      <c r="BB151" s="184"/>
      <c r="BC151" s="184"/>
      <c r="BD151" s="184"/>
    </row>
    <row r="152" spans="2:56" x14ac:dyDescent="0.2">
      <c r="B152" s="184"/>
      <c r="C152" s="184"/>
      <c r="D152" s="184"/>
      <c r="E152" s="184"/>
      <c r="F152" s="421" t="s">
        <v>115</v>
      </c>
      <c r="G152" s="423"/>
      <c r="H152" s="421">
        <v>2</v>
      </c>
      <c r="I152" s="4"/>
      <c r="J152" s="4"/>
      <c r="K152" s="2"/>
      <c r="L152" s="216"/>
      <c r="M152" s="184"/>
      <c r="N152" s="184"/>
      <c r="O152" s="184"/>
      <c r="P152" s="184"/>
      <c r="Q152" s="184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184"/>
      <c r="AD152" s="184"/>
      <c r="AE152" s="184"/>
      <c r="AF152" s="276"/>
      <c r="AG152" s="276"/>
      <c r="AH152" s="276"/>
      <c r="AI152" s="276"/>
      <c r="AJ152" s="184"/>
      <c r="AK152" s="184"/>
      <c r="AL152" s="184"/>
      <c r="AM152" s="184"/>
      <c r="AN152" s="184"/>
      <c r="AO152" s="184"/>
      <c r="AP152" s="184"/>
      <c r="AQ152" s="184"/>
      <c r="AR152" s="184"/>
      <c r="AS152" s="184"/>
      <c r="AT152" s="184"/>
      <c r="AU152" s="184"/>
      <c r="AV152" s="184"/>
      <c r="AW152" s="184"/>
      <c r="AX152" s="184"/>
      <c r="AY152" s="184"/>
      <c r="AZ152" s="184"/>
      <c r="BA152" s="184"/>
      <c r="BB152" s="184"/>
      <c r="BC152" s="184"/>
      <c r="BD152" s="184"/>
    </row>
    <row r="153" spans="2:56" x14ac:dyDescent="0.2">
      <c r="F153" s="421" t="s">
        <v>116</v>
      </c>
      <c r="G153" s="423"/>
      <c r="H153" s="421">
        <v>3</v>
      </c>
      <c r="I153" s="4"/>
      <c r="J153" s="4"/>
      <c r="K153" s="2"/>
      <c r="L153" s="11"/>
    </row>
    <row r="154" spans="2:56" x14ac:dyDescent="0.2">
      <c r="F154" s="421" t="s">
        <v>117</v>
      </c>
      <c r="G154" s="423"/>
      <c r="H154" s="421">
        <v>4</v>
      </c>
      <c r="I154" s="4"/>
      <c r="J154" s="4"/>
      <c r="K154" s="2"/>
    </row>
    <row r="155" spans="2:56" x14ac:dyDescent="0.2">
      <c r="F155" s="421"/>
      <c r="G155" s="423"/>
      <c r="H155" s="421">
        <v>5</v>
      </c>
      <c r="I155" s="4"/>
      <c r="J155" s="4"/>
      <c r="K155" s="2"/>
    </row>
    <row r="156" spans="2:56" x14ac:dyDescent="0.2">
      <c r="F156" s="421"/>
      <c r="G156" s="423"/>
      <c r="H156" s="421">
        <v>6</v>
      </c>
      <c r="I156" s="4"/>
      <c r="J156" s="4"/>
      <c r="K156" s="2"/>
    </row>
    <row r="157" spans="2:56" x14ac:dyDescent="0.2">
      <c r="F157" s="421"/>
      <c r="G157" s="423"/>
      <c r="H157" s="421">
        <v>7</v>
      </c>
      <c r="I157" s="4"/>
      <c r="J157" s="4"/>
      <c r="K157" s="2"/>
    </row>
    <row r="158" spans="2:56" x14ac:dyDescent="0.2">
      <c r="F158" s="421"/>
      <c r="G158" s="423"/>
      <c r="H158" s="421">
        <v>8</v>
      </c>
      <c r="I158" s="4"/>
      <c r="J158" s="4"/>
      <c r="K158" s="2"/>
    </row>
    <row r="159" spans="2:56" x14ac:dyDescent="0.2">
      <c r="F159" s="421"/>
      <c r="G159" s="423"/>
      <c r="H159" s="421">
        <v>9</v>
      </c>
      <c r="I159" s="4"/>
      <c r="J159" s="4"/>
      <c r="K159" s="2"/>
    </row>
    <row r="160" spans="2:56" x14ac:dyDescent="0.2">
      <c r="F160" s="421"/>
      <c r="G160" s="423"/>
      <c r="H160" s="421">
        <v>10</v>
      </c>
      <c r="I160" s="4"/>
      <c r="J160" s="4"/>
      <c r="K160" s="2"/>
    </row>
    <row r="161" spans="6:11" x14ac:dyDescent="0.2">
      <c r="F161" s="421" t="s">
        <v>98</v>
      </c>
      <c r="G161" s="423"/>
      <c r="H161" s="419"/>
      <c r="I161" s="4"/>
      <c r="J161" s="4"/>
      <c r="K161" s="2"/>
    </row>
    <row r="162" spans="6:11" x14ac:dyDescent="0.2">
      <c r="F162" s="421" t="s">
        <v>99</v>
      </c>
      <c r="G162" s="423"/>
      <c r="H162" s="419"/>
      <c r="I162" s="4"/>
      <c r="J162" s="4"/>
      <c r="K162" s="2"/>
    </row>
    <row r="163" spans="6:11" x14ac:dyDescent="0.2">
      <c r="F163" s="421" t="s">
        <v>66</v>
      </c>
      <c r="G163" s="423"/>
      <c r="H163" s="419"/>
      <c r="I163" s="4"/>
      <c r="J163" s="4"/>
      <c r="K163" s="2"/>
    </row>
    <row r="164" spans="6:11" x14ac:dyDescent="0.2">
      <c r="F164" s="421" t="s">
        <v>75</v>
      </c>
      <c r="G164" s="423"/>
      <c r="H164" s="419"/>
      <c r="I164" s="4"/>
      <c r="J164" s="4"/>
      <c r="K164" s="2"/>
    </row>
    <row r="165" spans="6:11" ht="13.5" thickBot="1" x14ac:dyDescent="0.25">
      <c r="F165" s="422"/>
      <c r="G165" s="425"/>
      <c r="H165" s="420"/>
      <c r="I165" s="4"/>
      <c r="J165" s="4"/>
      <c r="K165" s="2"/>
    </row>
    <row r="166" spans="6:11" x14ac:dyDescent="0.2">
      <c r="F166" s="2"/>
      <c r="G166" s="4"/>
      <c r="H166" s="4"/>
      <c r="I166" s="4"/>
      <c r="J166" s="4"/>
      <c r="K166" s="2"/>
    </row>
  </sheetData>
  <mergeCells count="128">
    <mergeCell ref="P140:AY141"/>
    <mergeCell ref="G140:M141"/>
    <mergeCell ref="C140:F141"/>
    <mergeCell ref="D20:D22"/>
    <mergeCell ref="AE28:AE32"/>
    <mergeCell ref="AE34:AE36"/>
    <mergeCell ref="C7:F7"/>
    <mergeCell ref="C3:V3"/>
    <mergeCell ref="C5:V5"/>
    <mergeCell ref="C42:F43"/>
    <mergeCell ref="G42:M43"/>
    <mergeCell ref="P42:AY43"/>
    <mergeCell ref="D12:D18"/>
    <mergeCell ref="D28:D36"/>
    <mergeCell ref="F34:F36"/>
    <mergeCell ref="I10:T10"/>
    <mergeCell ref="AE26:AS27"/>
    <mergeCell ref="F132:F134"/>
    <mergeCell ref="AC45:AE45"/>
    <mergeCell ref="AY47:AY49"/>
    <mergeCell ref="Z47:Z49"/>
    <mergeCell ref="F127:F130"/>
    <mergeCell ref="D45:F45"/>
    <mergeCell ref="D26:F26"/>
    <mergeCell ref="F28:F32"/>
    <mergeCell ref="D127:D134"/>
    <mergeCell ref="H49:I49"/>
    <mergeCell ref="J49:K49"/>
    <mergeCell ref="L49:M49"/>
    <mergeCell ref="N49:P49"/>
    <mergeCell ref="H28:I28"/>
    <mergeCell ref="H34:I34"/>
    <mergeCell ref="J28:K28"/>
    <mergeCell ref="N132:P132"/>
    <mergeCell ref="N127:P127"/>
    <mergeCell ref="H134:T134"/>
    <mergeCell ref="H132:I132"/>
    <mergeCell ref="J132:K132"/>
    <mergeCell ref="H47:X47"/>
    <mergeCell ref="H124:I124"/>
    <mergeCell ref="J124:K124"/>
    <mergeCell ref="L124:M124"/>
    <mergeCell ref="N124:P124"/>
    <mergeCell ref="Q124:R124"/>
    <mergeCell ref="S124:T124"/>
    <mergeCell ref="S34:T34"/>
    <mergeCell ref="H36:T36"/>
    <mergeCell ref="Q127:R127"/>
    <mergeCell ref="S127:T127"/>
    <mergeCell ref="L132:M132"/>
    <mergeCell ref="AR28:AS28"/>
    <mergeCell ref="AR34:AS34"/>
    <mergeCell ref="AI34:AJ34"/>
    <mergeCell ref="H45:X45"/>
    <mergeCell ref="AE127:AE130"/>
    <mergeCell ref="AE132:AE134"/>
    <mergeCell ref="I126:T126"/>
    <mergeCell ref="H127:I127"/>
    <mergeCell ref="J127:K127"/>
    <mergeCell ref="L127:M127"/>
    <mergeCell ref="Q132:R132"/>
    <mergeCell ref="S132:T132"/>
    <mergeCell ref="AG134:AS134"/>
    <mergeCell ref="N28:P28"/>
    <mergeCell ref="N34:P34"/>
    <mergeCell ref="Q49:R49"/>
    <mergeCell ref="S49:T49"/>
    <mergeCell ref="Q28:R28"/>
    <mergeCell ref="Q34:R34"/>
    <mergeCell ref="S28:T28"/>
    <mergeCell ref="J34:K34"/>
    <mergeCell ref="S20:T20"/>
    <mergeCell ref="L136:T137"/>
    <mergeCell ref="AG28:AH28"/>
    <mergeCell ref="AG34:AH34"/>
    <mergeCell ref="AG36:AS36"/>
    <mergeCell ref="AI28:AJ28"/>
    <mergeCell ref="AR127:AS127"/>
    <mergeCell ref="AG132:AH132"/>
    <mergeCell ref="AI132:AJ132"/>
    <mergeCell ref="AK132:AL132"/>
    <mergeCell ref="AM132:AO132"/>
    <mergeCell ref="AP132:AQ132"/>
    <mergeCell ref="AR132:AS132"/>
    <mergeCell ref="AC127:AC134"/>
    <mergeCell ref="AG127:AH127"/>
    <mergeCell ref="AI127:AJ127"/>
    <mergeCell ref="AK127:AL127"/>
    <mergeCell ref="AM127:AO127"/>
    <mergeCell ref="AP28:AQ28"/>
    <mergeCell ref="AP34:AQ34"/>
    <mergeCell ref="AM34:AO34"/>
    <mergeCell ref="AK28:AL28"/>
    <mergeCell ref="AK34:AL34"/>
    <mergeCell ref="AM28:AO28"/>
    <mergeCell ref="J12:K12"/>
    <mergeCell ref="L12:M12"/>
    <mergeCell ref="N12:P12"/>
    <mergeCell ref="Q12:R12"/>
    <mergeCell ref="H20:I20"/>
    <mergeCell ref="J20:K20"/>
    <mergeCell ref="L20:M20"/>
    <mergeCell ref="N20:P20"/>
    <mergeCell ref="Q20:R20"/>
    <mergeCell ref="F150:H150"/>
    <mergeCell ref="H22:T22"/>
    <mergeCell ref="X12:AE20"/>
    <mergeCell ref="I26:T26"/>
    <mergeCell ref="L28:M28"/>
    <mergeCell ref="L34:M34"/>
    <mergeCell ref="AP124:AQ124"/>
    <mergeCell ref="AR124:AS124"/>
    <mergeCell ref="AP127:AQ127"/>
    <mergeCell ref="AG49:AH49"/>
    <mergeCell ref="AG45:AW45"/>
    <mergeCell ref="AG47:AW47"/>
    <mergeCell ref="AH126:AS126"/>
    <mergeCell ref="AM49:AO49"/>
    <mergeCell ref="AP49:AQ49"/>
    <mergeCell ref="AR49:AS49"/>
    <mergeCell ref="AI49:AJ49"/>
    <mergeCell ref="AK49:AL49"/>
    <mergeCell ref="AG124:AH124"/>
    <mergeCell ref="AI124:AJ124"/>
    <mergeCell ref="AK124:AL124"/>
    <mergeCell ref="AM124:AO124"/>
    <mergeCell ref="S12:T12"/>
    <mergeCell ref="H12:I12"/>
  </mergeCells>
  <conditionalFormatting sqref="Z52:Z119 AY52:AY119">
    <cfRule type="cellIs" dxfId="0" priority="4" stopIfTrue="1" operator="greaterThan">
      <formula>75</formula>
    </cfRule>
  </conditionalFormatting>
  <dataValidations count="2">
    <dataValidation type="list" allowBlank="1" showInputMessage="1" showErrorMessage="1" errorTitle="BOBÃO" sqref="P145:Q145" xr:uid="{00000000-0002-0000-0200-000000000000}">
      <formula1>$G$151:$G$165</formula1>
    </dataValidation>
    <dataValidation type="list" allowBlank="1" showErrorMessage="1" sqref="F52:F119 AE52:AE119" xr:uid="{00000000-0002-0000-0200-000001000000}">
      <formula1>$F$151:$F$165</formula1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30" orientation="landscape" r:id="rId1"/>
  <headerFooter alignWithMargins="0"/>
  <rowBreaks count="1" manualBreakCount="1">
    <brk id="138" max="16383" man="1"/>
  </rowBreaks>
  <drawing r:id="rId2"/>
  <legacyDrawing r:id="rId3"/>
  <controls>
    <mc:AlternateContent xmlns:mc="http://schemas.openxmlformats.org/markup-compatibility/2006">
      <mc:Choice Requires="x14">
        <control shapeId="277505" r:id="rId4" name="CommandButton1">
          <controlPr autoLine="0" r:id="rId5">
            <anchor moveWithCells="1">
              <from>
                <xdr:col>22</xdr:col>
                <xdr:colOff>57150</xdr:colOff>
                <xdr:row>2</xdr:row>
                <xdr:rowOff>247650</xdr:rowOff>
              </from>
              <to>
                <xdr:col>25</xdr:col>
                <xdr:colOff>247650</xdr:colOff>
                <xdr:row>4</xdr:row>
                <xdr:rowOff>171450</xdr:rowOff>
              </to>
            </anchor>
          </controlPr>
        </control>
      </mc:Choice>
      <mc:Fallback>
        <control shapeId="27750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FFFF00"/>
    <pageSetUpPr fitToPage="1"/>
  </sheetPr>
  <dimension ref="A1:Y74"/>
  <sheetViews>
    <sheetView tabSelected="1" topLeftCell="A7" workbookViewId="0">
      <selection activeCell="K31" sqref="K31:K32"/>
    </sheetView>
  </sheetViews>
  <sheetFormatPr defaultColWidth="9.140625" defaultRowHeight="12.75" x14ac:dyDescent="0.2"/>
  <cols>
    <col min="1" max="2" width="1.7109375" style="1" customWidth="1"/>
    <col min="3" max="3" width="1.7109375" style="8" customWidth="1"/>
    <col min="4" max="4" width="5.7109375" style="1" customWidth="1"/>
    <col min="5" max="5" width="19" style="1" bestFit="1" customWidth="1"/>
    <col min="6" max="6" width="1.85546875" style="1" customWidth="1"/>
    <col min="7" max="7" width="18.7109375" style="1" customWidth="1"/>
    <col min="8" max="8" width="1.7109375" style="1" customWidth="1"/>
    <col min="9" max="9" width="18.7109375" style="3" customWidth="1"/>
    <col min="10" max="10" width="1.7109375" style="3" customWidth="1"/>
    <col min="11" max="11" width="18.7109375" style="1" customWidth="1"/>
    <col min="12" max="12" width="1.7109375" style="1" customWidth="1"/>
    <col min="13" max="13" width="18.7109375" style="1" customWidth="1"/>
    <col min="14" max="14" width="1.7109375" style="1" customWidth="1"/>
    <col min="15" max="15" width="20.7109375" style="1" customWidth="1"/>
    <col min="16" max="16" width="1.7109375" style="8" customWidth="1"/>
    <col min="17" max="18" width="1.7109375" style="1" customWidth="1"/>
    <col min="19" max="21" width="12.7109375" style="1" customWidth="1"/>
    <col min="22" max="22" width="1.7109375" style="1" customWidth="1"/>
    <col min="23" max="25" width="12.7109375" style="1" customWidth="1"/>
    <col min="26" max="26" width="9.140625" style="1"/>
    <col min="27" max="27" width="10.7109375" style="1" bestFit="1" customWidth="1"/>
    <col min="28" max="29" width="9.140625" style="1"/>
    <col min="30" max="30" width="3.7109375" style="1" customWidth="1"/>
    <col min="31" max="33" width="9.140625" style="1"/>
    <col min="34" max="34" width="1.7109375" style="1" customWidth="1"/>
    <col min="35" max="16384" width="9.140625" style="1"/>
  </cols>
  <sheetData>
    <row r="1" spans="1:25" ht="9.9499999999999993" customHeight="1" thickTop="1" x14ac:dyDescent="0.2">
      <c r="A1" s="117" t="s">
        <v>26</v>
      </c>
      <c r="B1" s="91"/>
      <c r="C1" s="91"/>
      <c r="D1" s="91"/>
      <c r="E1" s="91"/>
      <c r="F1" s="91"/>
      <c r="G1" s="91"/>
      <c r="H1" s="91"/>
      <c r="I1" s="93"/>
      <c r="J1" s="93"/>
      <c r="K1" s="91"/>
      <c r="L1" s="91"/>
      <c r="M1" s="91"/>
      <c r="N1" s="91"/>
      <c r="O1" s="91"/>
      <c r="P1" s="92"/>
      <c r="Q1" s="91"/>
      <c r="R1" s="94"/>
      <c r="S1" s="2"/>
      <c r="T1" s="2"/>
      <c r="U1" s="2"/>
      <c r="V1" s="2"/>
      <c r="W1" s="2"/>
      <c r="X1" s="2"/>
      <c r="Y1" s="2"/>
    </row>
    <row r="2" spans="1:25" ht="24.95" customHeight="1" x14ac:dyDescent="0.2">
      <c r="A2" s="40"/>
      <c r="B2" s="723" t="str">
        <f>Caderno!D3</f>
        <v>LOTÉRICA CHAPARRAL - Santo André - SP</v>
      </c>
      <c r="C2" s="723"/>
      <c r="D2" s="723"/>
      <c r="E2" s="723"/>
      <c r="F2" s="723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41"/>
      <c r="S2" s="15"/>
      <c r="T2" s="15"/>
      <c r="U2" s="15"/>
      <c r="V2" s="15"/>
      <c r="W2" s="2"/>
      <c r="X2" s="2"/>
      <c r="Y2" s="2"/>
    </row>
    <row r="3" spans="1:25" ht="5.0999999999999996" customHeight="1" x14ac:dyDescent="0.2">
      <c r="A3" s="40"/>
      <c r="B3" s="2"/>
      <c r="C3" s="14"/>
      <c r="D3" s="2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1"/>
      <c r="Q3" s="9"/>
      <c r="R3" s="42"/>
      <c r="S3" s="9"/>
      <c r="U3" s="9"/>
      <c r="V3" s="9"/>
      <c r="W3" s="2"/>
      <c r="X3" s="2"/>
      <c r="Y3" s="2"/>
    </row>
    <row r="4" spans="1:25" ht="24.95" customHeight="1" x14ac:dyDescent="0.2">
      <c r="A4" s="40"/>
      <c r="B4" s="723" t="s">
        <v>27</v>
      </c>
      <c r="C4" s="723"/>
      <c r="D4" s="723"/>
      <c r="E4" s="723"/>
      <c r="F4" s="723"/>
      <c r="G4" s="723"/>
      <c r="H4" s="723"/>
      <c r="I4" s="723"/>
      <c r="J4" s="723"/>
      <c r="K4" s="723"/>
      <c r="L4" s="723"/>
      <c r="M4" s="723"/>
      <c r="N4" s="723"/>
      <c r="O4" s="723"/>
      <c r="P4" s="723"/>
      <c r="Q4" s="723"/>
      <c r="R4" s="41"/>
      <c r="S4" s="15"/>
      <c r="T4" s="15"/>
      <c r="U4" s="15"/>
      <c r="V4" s="15"/>
      <c r="W4" s="2"/>
      <c r="X4" s="2"/>
      <c r="Y4" s="2"/>
    </row>
    <row r="5" spans="1:25" ht="5.0999999999999996" customHeight="1" x14ac:dyDescent="0.2">
      <c r="A5" s="40"/>
      <c r="B5" s="2"/>
      <c r="C5" s="14"/>
      <c r="D5" s="2"/>
      <c r="E5" s="2"/>
      <c r="F5" s="2"/>
      <c r="G5" s="2"/>
      <c r="H5" s="2"/>
      <c r="I5" s="4"/>
      <c r="J5" s="4"/>
      <c r="K5" s="2"/>
      <c r="L5" s="2"/>
      <c r="M5" s="2"/>
      <c r="N5" s="2"/>
      <c r="O5" s="2"/>
      <c r="P5" s="14"/>
      <c r="Q5" s="2"/>
      <c r="R5" s="43"/>
      <c r="S5" s="2"/>
      <c r="T5" s="9"/>
      <c r="U5" s="2"/>
      <c r="V5" s="2"/>
      <c r="W5" s="2"/>
      <c r="X5" s="2"/>
      <c r="Y5" s="2"/>
    </row>
    <row r="6" spans="1:25" ht="24.95" customHeight="1" thickBot="1" x14ac:dyDescent="0.25">
      <c r="A6" s="40"/>
      <c r="B6" s="731"/>
      <c r="C6" s="731"/>
      <c r="D6" s="731"/>
      <c r="E6" s="731"/>
      <c r="F6" s="38"/>
      <c r="G6" s="33"/>
      <c r="H6" s="39"/>
      <c r="I6" s="39"/>
      <c r="J6" s="39"/>
      <c r="K6" s="2"/>
      <c r="L6" s="2"/>
      <c r="M6" s="2"/>
      <c r="N6" s="2"/>
      <c r="O6" s="2"/>
      <c r="P6" s="14"/>
      <c r="Q6" s="2"/>
      <c r="R6" s="43"/>
      <c r="S6" s="2"/>
      <c r="T6" s="2"/>
      <c r="U6" s="2"/>
      <c r="V6" s="2"/>
      <c r="W6" s="2"/>
      <c r="X6" s="2"/>
      <c r="Y6" s="2"/>
    </row>
    <row r="7" spans="1:25" ht="24.95" customHeight="1" thickBot="1" x14ac:dyDescent="0.25">
      <c r="A7" s="40"/>
      <c r="B7" s="728" t="str">
        <f>Caderno!D7</f>
        <v>BASE</v>
      </c>
      <c r="C7" s="729"/>
      <c r="D7" s="729"/>
      <c r="E7" s="729"/>
      <c r="F7" s="729"/>
      <c r="G7" s="729"/>
      <c r="H7" s="729"/>
      <c r="I7" s="729"/>
      <c r="J7" s="729"/>
      <c r="K7" s="729"/>
      <c r="L7" s="729"/>
      <c r="M7" s="729"/>
      <c r="N7" s="729"/>
      <c r="O7" s="729"/>
      <c r="P7" s="729"/>
      <c r="Q7" s="730"/>
      <c r="R7" s="43"/>
      <c r="S7" s="2"/>
      <c r="T7" s="2"/>
      <c r="U7" s="2"/>
      <c r="V7" s="2"/>
      <c r="W7" s="2"/>
      <c r="X7" s="2"/>
      <c r="Y7" s="2"/>
    </row>
    <row r="8" spans="1:25" ht="12.75" customHeight="1" x14ac:dyDescent="0.2">
      <c r="A8" s="40"/>
      <c r="B8" s="2"/>
      <c r="C8" s="14"/>
      <c r="D8" s="2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3"/>
      <c r="Q8" s="7"/>
      <c r="R8" s="44"/>
      <c r="S8" s="7"/>
      <c r="T8" s="7"/>
      <c r="U8" s="7"/>
      <c r="V8" s="7"/>
      <c r="W8" s="2"/>
      <c r="X8" s="2"/>
      <c r="Y8" s="2"/>
    </row>
    <row r="9" spans="1:25" customFormat="1" ht="9.9499999999999993" customHeight="1" x14ac:dyDescent="0.2">
      <c r="A9" s="45"/>
      <c r="B9" s="690"/>
      <c r="C9" s="11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7"/>
      <c r="T9" s="12"/>
      <c r="U9" s="12"/>
    </row>
    <row r="10" spans="1:25" customFormat="1" ht="9.9499999999999993" customHeight="1" x14ac:dyDescent="0.2">
      <c r="A10" s="45"/>
      <c r="B10" s="690"/>
      <c r="C10" s="48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46"/>
      <c r="R10" s="47"/>
      <c r="T10" s="2"/>
      <c r="U10" s="122" t="s">
        <v>26</v>
      </c>
    </row>
    <row r="11" spans="1:25" customFormat="1" ht="20.100000000000001" customHeight="1" x14ac:dyDescent="0.3">
      <c r="A11" s="45"/>
      <c r="B11" s="690"/>
      <c r="C11" s="48"/>
      <c r="D11" s="726" t="str">
        <f>B7</f>
        <v>BASE</v>
      </c>
      <c r="E11" s="727"/>
      <c r="F11" s="30"/>
      <c r="G11" s="31"/>
      <c r="H11" s="31"/>
      <c r="I11" s="31"/>
      <c r="J11" s="31"/>
      <c r="K11" s="31"/>
      <c r="L11" s="31"/>
      <c r="M11" s="31"/>
      <c r="N11" s="31"/>
      <c r="O11" s="32"/>
      <c r="P11" s="49"/>
      <c r="Q11" s="50"/>
      <c r="R11" s="47"/>
      <c r="T11" s="12"/>
      <c r="U11" s="12"/>
    </row>
    <row r="12" spans="1:25" customFormat="1" ht="5.0999999999999996" customHeight="1" x14ac:dyDescent="0.2">
      <c r="A12" s="45"/>
      <c r="B12" s="690"/>
      <c r="C12" s="4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51"/>
      <c r="R12" s="47"/>
      <c r="T12" s="12"/>
      <c r="U12" s="12"/>
    </row>
    <row r="13" spans="1:25" customFormat="1" ht="20.100000000000001" customHeight="1" x14ac:dyDescent="0.2">
      <c r="A13" s="45"/>
      <c r="B13" s="690"/>
      <c r="C13" s="48"/>
      <c r="D13" s="724" t="s">
        <v>21</v>
      </c>
      <c r="E13" s="725"/>
      <c r="F13" s="52"/>
      <c r="G13" s="24" t="s">
        <v>7</v>
      </c>
      <c r="H13" s="18"/>
      <c r="I13" s="29" t="s">
        <v>28</v>
      </c>
      <c r="J13" s="18"/>
      <c r="K13" s="29" t="s">
        <v>29</v>
      </c>
      <c r="L13" s="19"/>
      <c r="M13" s="29" t="s">
        <v>5</v>
      </c>
      <c r="N13" s="35"/>
      <c r="O13" s="24" t="s">
        <v>30</v>
      </c>
      <c r="P13" s="52"/>
      <c r="Q13" s="53"/>
      <c r="R13" s="47"/>
      <c r="T13" s="12"/>
      <c r="U13" s="12"/>
    </row>
    <row r="14" spans="1:25" s="10" customFormat="1" ht="5.0999999999999996" customHeight="1" x14ac:dyDescent="0.2">
      <c r="A14" s="54"/>
      <c r="B14" s="690"/>
      <c r="C14" s="48"/>
      <c r="D14" s="55"/>
      <c r="E14" s="55"/>
      <c r="F14" s="55"/>
      <c r="G14" s="55"/>
      <c r="H14" s="18"/>
      <c r="I14" s="18"/>
      <c r="J14" s="18"/>
      <c r="K14" s="19"/>
      <c r="L14" s="19"/>
      <c r="M14" s="19"/>
      <c r="N14" s="19"/>
      <c r="O14" s="55"/>
      <c r="P14" s="55"/>
      <c r="Q14" s="53"/>
      <c r="R14" s="56"/>
    </row>
    <row r="15" spans="1:25" customFormat="1" ht="20.100000000000001" customHeight="1" x14ac:dyDescent="0.25">
      <c r="A15" s="45"/>
      <c r="B15" s="690"/>
      <c r="C15" s="48"/>
      <c r="D15" s="106">
        <v>1</v>
      </c>
      <c r="E15" s="107" t="str">
        <f>Caderno!E97</f>
        <v>FERNANDA</v>
      </c>
      <c r="F15" s="35"/>
      <c r="G15" s="37">
        <f>Caderno!E78</f>
        <v>2000</v>
      </c>
      <c r="H15" s="23"/>
      <c r="I15" s="37">
        <f>Caderno!F86</f>
        <v>50</v>
      </c>
      <c r="J15" s="57"/>
      <c r="K15" s="37">
        <f>Caderno!F92</f>
        <v>100</v>
      </c>
      <c r="L15" s="22"/>
      <c r="M15" s="37">
        <f>Caderno!E89</f>
        <v>0</v>
      </c>
      <c r="N15" s="57"/>
      <c r="O15" s="37">
        <f>Caderno!E83</f>
        <v>150</v>
      </c>
      <c r="P15" s="58"/>
      <c r="Q15" s="51"/>
      <c r="R15" s="47"/>
    </row>
    <row r="16" spans="1:25" customFormat="1" ht="20.100000000000001" customHeight="1" x14ac:dyDescent="0.2">
      <c r="A16" s="45"/>
      <c r="B16" s="690"/>
      <c r="C16" s="48"/>
      <c r="D16" s="106">
        <v>2</v>
      </c>
      <c r="E16" s="440" t="s">
        <v>126</v>
      </c>
      <c r="F16" s="35"/>
      <c r="G16" s="123">
        <f>Caderno!H78</f>
        <v>1000</v>
      </c>
      <c r="H16" s="23"/>
      <c r="I16" s="123">
        <f>Caderno!I86</f>
        <v>0</v>
      </c>
      <c r="J16" s="57"/>
      <c r="K16" s="123">
        <f>Caderno!I92</f>
        <v>0</v>
      </c>
      <c r="L16" s="23"/>
      <c r="M16" s="123">
        <f>Caderno!H89</f>
        <v>0</v>
      </c>
      <c r="N16" s="57"/>
      <c r="O16" s="123">
        <f>Caderno!H83</f>
        <v>0</v>
      </c>
      <c r="P16" s="58"/>
      <c r="Q16" s="51"/>
      <c r="R16" s="47"/>
    </row>
    <row r="17" spans="1:21" customFormat="1" ht="20.100000000000001" customHeight="1" x14ac:dyDescent="0.2">
      <c r="A17" s="45"/>
      <c r="B17" s="690"/>
      <c r="C17" s="48"/>
      <c r="D17" s="106">
        <v>3</v>
      </c>
      <c r="E17" s="440" t="str">
        <f>Caderno!K97</f>
        <v>KATIA</v>
      </c>
      <c r="F17" s="35"/>
      <c r="G17" s="37">
        <f>Caderno!K78</f>
        <v>0</v>
      </c>
      <c r="H17" s="23"/>
      <c r="I17" s="37">
        <f>Caderno!L86</f>
        <v>0</v>
      </c>
      <c r="J17" s="57"/>
      <c r="K17" s="37">
        <f>Caderno!L92</f>
        <v>0</v>
      </c>
      <c r="L17" s="23"/>
      <c r="M17" s="37">
        <f>Caderno!K89</f>
        <v>0</v>
      </c>
      <c r="N17" s="57"/>
      <c r="O17" s="37">
        <f>Caderno!K83</f>
        <v>0</v>
      </c>
      <c r="P17" s="58"/>
      <c r="Q17" s="51"/>
      <c r="R17" s="47"/>
    </row>
    <row r="18" spans="1:21" customFormat="1" ht="20.100000000000001" customHeight="1" x14ac:dyDescent="0.2">
      <c r="A18" s="45"/>
      <c r="B18" s="690"/>
      <c r="C18" s="48"/>
      <c r="D18" s="483">
        <v>4</v>
      </c>
      <c r="E18" s="484" t="str">
        <f>Caderno!N97</f>
        <v>ARLENE</v>
      </c>
      <c r="F18" s="35"/>
      <c r="G18" s="123">
        <f>Caderno!N78</f>
        <v>0</v>
      </c>
      <c r="H18" s="23"/>
      <c r="I18" s="123">
        <f>Caderno!O86</f>
        <v>0</v>
      </c>
      <c r="J18" s="57"/>
      <c r="K18" s="123">
        <f>Caderno!O92</f>
        <v>0</v>
      </c>
      <c r="L18" s="23"/>
      <c r="M18" s="123">
        <f>Caderno!N89</f>
        <v>0</v>
      </c>
      <c r="N18" s="57"/>
      <c r="O18" s="123">
        <f>Caderno!N83</f>
        <v>0</v>
      </c>
      <c r="P18" s="58"/>
      <c r="Q18" s="51"/>
      <c r="R18" s="47"/>
    </row>
    <row r="19" spans="1:21" customFormat="1" ht="20.100000000000001" customHeight="1" x14ac:dyDescent="0.2">
      <c r="A19" s="45"/>
      <c r="B19" s="690"/>
      <c r="C19" s="48"/>
      <c r="D19" s="482">
        <v>5</v>
      </c>
      <c r="E19" s="456">
        <f>Caderno!Q97</f>
        <v>0</v>
      </c>
      <c r="F19" s="35"/>
      <c r="G19" s="433">
        <f>Caderno!Q78</f>
        <v>0</v>
      </c>
      <c r="H19" s="23"/>
      <c r="I19" s="433">
        <f>Caderno!R86</f>
        <v>0</v>
      </c>
      <c r="J19" s="57"/>
      <c r="K19" s="433">
        <f>Caderno!R92</f>
        <v>0</v>
      </c>
      <c r="L19" s="23"/>
      <c r="M19" s="433">
        <f>Caderno!Q89</f>
        <v>0</v>
      </c>
      <c r="N19" s="57"/>
      <c r="O19" s="433">
        <f>Caderno!Q83</f>
        <v>0</v>
      </c>
      <c r="P19" s="58"/>
      <c r="Q19" s="51"/>
      <c r="R19" s="47"/>
    </row>
    <row r="20" spans="1:21" customFormat="1" ht="20.100000000000001" customHeight="1" x14ac:dyDescent="0.2">
      <c r="A20" s="45"/>
      <c r="B20" s="690"/>
      <c r="C20" s="48"/>
      <c r="D20" s="482">
        <v>6</v>
      </c>
      <c r="E20" s="432">
        <f>Caderno!T97</f>
        <v>0</v>
      </c>
      <c r="F20" s="35"/>
      <c r="G20" s="433">
        <f>Caderno!T78</f>
        <v>0</v>
      </c>
      <c r="H20" s="23"/>
      <c r="I20" s="433">
        <f>Caderno!U86</f>
        <v>0</v>
      </c>
      <c r="J20" s="57"/>
      <c r="K20" s="433">
        <f>Caderno!U92</f>
        <v>0</v>
      </c>
      <c r="L20" s="23"/>
      <c r="M20" s="433">
        <f>Caderno!T89</f>
        <v>0</v>
      </c>
      <c r="N20" s="57"/>
      <c r="O20" s="433">
        <f>Caderno!T83</f>
        <v>0</v>
      </c>
      <c r="P20" s="58"/>
      <c r="Q20" s="51"/>
      <c r="R20" s="47"/>
    </row>
    <row r="21" spans="1:21" customFormat="1" ht="20.100000000000001" customHeight="1" x14ac:dyDescent="0.2">
      <c r="A21" s="45"/>
      <c r="B21" s="690"/>
      <c r="C21" s="48"/>
      <c r="D21" s="482">
        <v>7</v>
      </c>
      <c r="E21" s="456">
        <f>Caderno!W97</f>
        <v>0</v>
      </c>
      <c r="F21" s="35"/>
      <c r="G21" s="433">
        <f>Caderno!W78</f>
        <v>0</v>
      </c>
      <c r="H21" s="23"/>
      <c r="I21" s="433">
        <f>Caderno!X86</f>
        <v>0</v>
      </c>
      <c r="J21" s="57"/>
      <c r="K21" s="433">
        <f>Caderno!X92</f>
        <v>0</v>
      </c>
      <c r="L21" s="23"/>
      <c r="M21" s="433">
        <f>Caderno!W89</f>
        <v>0</v>
      </c>
      <c r="N21" s="57"/>
      <c r="O21" s="433">
        <f>Caderno!W83</f>
        <v>0</v>
      </c>
      <c r="P21" s="58"/>
      <c r="Q21" s="51"/>
      <c r="R21" s="47"/>
    </row>
    <row r="22" spans="1:21" customFormat="1" ht="20.100000000000001" customHeight="1" x14ac:dyDescent="0.2">
      <c r="A22" s="45"/>
      <c r="B22" s="690"/>
      <c r="C22" s="48"/>
      <c r="D22" s="482">
        <v>8</v>
      </c>
      <c r="E22" s="432">
        <f>Caderno!Z97</f>
        <v>0</v>
      </c>
      <c r="F22" s="35"/>
      <c r="G22" s="433">
        <f>Caderno!Z78</f>
        <v>0</v>
      </c>
      <c r="H22" s="23"/>
      <c r="I22" s="433">
        <f>Caderno!AA86</f>
        <v>0</v>
      </c>
      <c r="J22" s="57"/>
      <c r="K22" s="433">
        <f>Caderno!AA92</f>
        <v>0</v>
      </c>
      <c r="L22" s="23"/>
      <c r="M22" s="433">
        <f>Caderno!Z89</f>
        <v>0</v>
      </c>
      <c r="N22" s="57"/>
      <c r="O22" s="433">
        <f>Caderno!Z83</f>
        <v>0</v>
      </c>
      <c r="P22" s="58"/>
      <c r="Q22" s="51"/>
      <c r="R22" s="47"/>
    </row>
    <row r="23" spans="1:21" customFormat="1" ht="20.100000000000001" customHeight="1" x14ac:dyDescent="0.2">
      <c r="A23" s="45"/>
      <c r="B23" s="690"/>
      <c r="C23" s="48"/>
      <c r="D23" s="482">
        <v>9</v>
      </c>
      <c r="E23" s="456">
        <f>Caderno!AC97</f>
        <v>0</v>
      </c>
      <c r="F23" s="35"/>
      <c r="G23" s="433">
        <f>Caderno!AC78</f>
        <v>0</v>
      </c>
      <c r="H23" s="23"/>
      <c r="I23" s="433">
        <f>Caderno!AD86</f>
        <v>0</v>
      </c>
      <c r="J23" s="57"/>
      <c r="K23" s="433">
        <f>Caderno!AD92</f>
        <v>0</v>
      </c>
      <c r="L23" s="23"/>
      <c r="M23" s="433">
        <f>Caderno!AC89</f>
        <v>0</v>
      </c>
      <c r="N23" s="57"/>
      <c r="O23" s="433">
        <f>Caderno!AC83</f>
        <v>0</v>
      </c>
      <c r="P23" s="58"/>
      <c r="Q23" s="51"/>
      <c r="R23" s="47"/>
    </row>
    <row r="24" spans="1:21" customFormat="1" ht="20.100000000000001" customHeight="1" x14ac:dyDescent="0.2">
      <c r="A24" s="45"/>
      <c r="B24" s="690"/>
      <c r="C24" s="48"/>
      <c r="D24" s="482">
        <v>10</v>
      </c>
      <c r="E24" s="432"/>
      <c r="F24" s="35"/>
      <c r="G24" s="433"/>
      <c r="H24" s="23"/>
      <c r="I24" s="433"/>
      <c r="J24" s="57"/>
      <c r="K24" s="433"/>
      <c r="L24" s="23"/>
      <c r="M24" s="433"/>
      <c r="N24" s="57"/>
      <c r="O24" s="433"/>
      <c r="P24" s="58"/>
      <c r="Q24" s="51"/>
      <c r="R24" s="47"/>
    </row>
    <row r="25" spans="1:21" customFormat="1" ht="20.100000000000001" customHeight="1" x14ac:dyDescent="0.2">
      <c r="A25" s="45"/>
      <c r="B25" s="690"/>
      <c r="C25" s="48"/>
      <c r="D25" s="482">
        <v>11</v>
      </c>
      <c r="E25" s="432"/>
      <c r="F25" s="35"/>
      <c r="G25" s="434"/>
      <c r="H25" s="23"/>
      <c r="I25" s="434"/>
      <c r="J25" s="57"/>
      <c r="K25" s="434"/>
      <c r="L25" s="23"/>
      <c r="M25" s="434"/>
      <c r="N25" s="57"/>
      <c r="O25" s="434"/>
      <c r="P25" s="58"/>
      <c r="Q25" s="51"/>
      <c r="R25" s="47"/>
    </row>
    <row r="26" spans="1:21" s="10" customFormat="1" ht="5.0999999999999996" customHeight="1" x14ac:dyDescent="0.2">
      <c r="A26" s="54"/>
      <c r="B26" s="690"/>
      <c r="C26" s="48"/>
      <c r="D26" s="18"/>
      <c r="E26" s="18"/>
      <c r="F26" s="18"/>
      <c r="G26" s="59"/>
      <c r="H26" s="23"/>
      <c r="I26" s="60"/>
      <c r="J26" s="60"/>
      <c r="K26" s="59"/>
      <c r="L26" s="23"/>
      <c r="M26" s="59"/>
      <c r="N26" s="59"/>
      <c r="O26" s="59"/>
      <c r="P26" s="61"/>
      <c r="Q26" s="51"/>
      <c r="R26" s="56"/>
    </row>
    <row r="27" spans="1:21" customFormat="1" ht="20.100000000000001" customHeight="1" x14ac:dyDescent="0.2">
      <c r="A27" s="45"/>
      <c r="B27" s="690"/>
      <c r="C27" s="48"/>
      <c r="D27" s="694" t="s">
        <v>6</v>
      </c>
      <c r="E27" s="695"/>
      <c r="F27" s="35"/>
      <c r="G27" s="28">
        <f>SUM(G15:G25)</f>
        <v>3000</v>
      </c>
      <c r="H27" s="23"/>
      <c r="I27" s="28">
        <f>SUM(I15:I25)</f>
        <v>50</v>
      </c>
      <c r="J27" s="59"/>
      <c r="K27" s="28">
        <f>SUM(K15:K25)</f>
        <v>100</v>
      </c>
      <c r="L27" s="23"/>
      <c r="M27" s="28">
        <f>SUM(M15:M25)</f>
        <v>0</v>
      </c>
      <c r="N27" s="59"/>
      <c r="O27" s="28">
        <f>SUM(O15:O25)</f>
        <v>150</v>
      </c>
      <c r="P27" s="61"/>
      <c r="Q27" s="51"/>
      <c r="R27" s="47"/>
    </row>
    <row r="28" spans="1:21" customFormat="1" ht="5.0999999999999996" customHeight="1" thickBot="1" x14ac:dyDescent="0.3">
      <c r="A28" s="45"/>
      <c r="B28" s="690"/>
      <c r="C28" s="48"/>
      <c r="D28" s="18"/>
      <c r="E28" s="18"/>
      <c r="F28" s="18"/>
      <c r="G28" s="18"/>
      <c r="H28" s="18"/>
      <c r="I28" s="62"/>
      <c r="J28" s="62"/>
      <c r="K28" s="18"/>
      <c r="L28" s="20"/>
      <c r="M28" s="18"/>
      <c r="N28" s="18"/>
      <c r="O28" s="18"/>
      <c r="P28" s="18"/>
      <c r="Q28" s="51"/>
      <c r="R28" s="47"/>
    </row>
    <row r="29" spans="1:21" customFormat="1" ht="20.100000000000001" customHeight="1" thickBot="1" x14ac:dyDescent="0.3">
      <c r="A29" s="45"/>
      <c r="B29" s="690"/>
      <c r="C29" s="48"/>
      <c r="D29" s="705" t="s">
        <v>64</v>
      </c>
      <c r="E29" s="706"/>
      <c r="F29" s="706"/>
      <c r="G29" s="707"/>
      <c r="H29" s="63"/>
      <c r="I29" s="112" t="s">
        <v>31</v>
      </c>
      <c r="J29" s="63"/>
      <c r="K29" s="113">
        <f>K27-I27</f>
        <v>50</v>
      </c>
      <c r="L29" s="63"/>
      <c r="M29" s="16"/>
      <c r="N29" s="63"/>
      <c r="O29" s="16"/>
      <c r="P29" s="63"/>
      <c r="Q29" s="64"/>
      <c r="R29" s="47"/>
    </row>
    <row r="30" spans="1:21" customFormat="1" ht="5.0999999999999996" customHeight="1" x14ac:dyDescent="0.25">
      <c r="A30" s="45"/>
      <c r="B30" s="690"/>
      <c r="C30" s="48"/>
      <c r="D30" s="708"/>
      <c r="E30" s="709"/>
      <c r="F30" s="709"/>
      <c r="G30" s="710"/>
      <c r="H30" s="63"/>
      <c r="I30" s="65"/>
      <c r="J30" s="63"/>
      <c r="K30" s="66"/>
      <c r="L30" s="63"/>
      <c r="M30" s="65"/>
      <c r="N30" s="63"/>
      <c r="O30" s="67"/>
      <c r="P30" s="63"/>
      <c r="Q30" s="51"/>
      <c r="R30" s="47"/>
    </row>
    <row r="31" spans="1:21" customFormat="1" ht="20.100000000000001" customHeight="1" x14ac:dyDescent="0.25">
      <c r="A31" s="45"/>
      <c r="B31" s="690"/>
      <c r="C31" s="48"/>
      <c r="D31" s="708"/>
      <c r="E31" s="709"/>
      <c r="F31" s="709"/>
      <c r="G31" s="710"/>
      <c r="H31" s="63"/>
      <c r="I31" s="700" t="s">
        <v>32</v>
      </c>
      <c r="J31" s="63"/>
      <c r="K31" s="698">
        <f>K29-M27</f>
        <v>50</v>
      </c>
      <c r="L31" s="63"/>
      <c r="M31" s="696" t="s">
        <v>33</v>
      </c>
      <c r="N31" s="63"/>
      <c r="O31" s="698">
        <f>G27+I27+K31-O27</f>
        <v>2950</v>
      </c>
      <c r="P31" s="63"/>
      <c r="Q31" s="51"/>
      <c r="R31" s="47"/>
      <c r="T31" s="435"/>
      <c r="U31" s="435"/>
    </row>
    <row r="32" spans="1:21" customFormat="1" ht="20.100000000000001" customHeight="1" thickBot="1" x14ac:dyDescent="0.3">
      <c r="A32" s="45"/>
      <c r="B32" s="690"/>
      <c r="C32" s="48"/>
      <c r="D32" s="711"/>
      <c r="E32" s="712"/>
      <c r="F32" s="712"/>
      <c r="G32" s="713"/>
      <c r="H32" s="63"/>
      <c r="I32" s="701"/>
      <c r="J32" s="63"/>
      <c r="K32" s="699"/>
      <c r="L32" s="63"/>
      <c r="M32" s="697"/>
      <c r="N32" s="63"/>
      <c r="O32" s="699"/>
      <c r="P32" s="63"/>
      <c r="Q32" s="51"/>
      <c r="R32" s="47"/>
    </row>
    <row r="33" spans="1:21" customFormat="1" ht="5.0999999999999996" customHeight="1" x14ac:dyDescent="0.25">
      <c r="A33" s="45"/>
      <c r="B33" s="690"/>
      <c r="C33" s="48"/>
      <c r="D33" s="63"/>
      <c r="E33" s="63"/>
      <c r="F33" s="63"/>
      <c r="G33" s="63"/>
      <c r="H33" s="63"/>
      <c r="I33" s="65"/>
      <c r="J33" s="63"/>
      <c r="K33" s="114"/>
      <c r="L33" s="63"/>
      <c r="M33" s="65"/>
      <c r="N33" s="63"/>
      <c r="O33" s="67"/>
      <c r="P33" s="63"/>
      <c r="Q33" s="51"/>
      <c r="R33" s="47"/>
    </row>
    <row r="34" spans="1:21" customFormat="1" ht="20.100000000000001" customHeight="1" x14ac:dyDescent="0.25">
      <c r="A34" s="45"/>
      <c r="B34" s="690"/>
      <c r="C34" s="48"/>
      <c r="D34" s="691" t="s">
        <v>34</v>
      </c>
      <c r="E34" s="692"/>
      <c r="F34" s="692"/>
      <c r="G34" s="693"/>
      <c r="H34" s="63"/>
      <c r="I34" s="63"/>
      <c r="J34" s="63"/>
      <c r="K34" s="115">
        <f>K31</f>
        <v>50</v>
      </c>
      <c r="L34" s="63"/>
      <c r="M34" s="63"/>
      <c r="N34" s="63"/>
      <c r="O34" s="63"/>
      <c r="P34" s="63"/>
      <c r="Q34" s="51"/>
      <c r="R34" s="47"/>
      <c r="T34" s="436"/>
      <c r="U34" s="436"/>
    </row>
    <row r="35" spans="1:21" customFormat="1" ht="5.0999999999999996" customHeight="1" x14ac:dyDescent="0.25">
      <c r="A35" s="45"/>
      <c r="B35" s="690"/>
      <c r="C35" s="48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51"/>
      <c r="R35" s="47"/>
    </row>
    <row r="36" spans="1:21" customFormat="1" ht="20.100000000000001" customHeight="1" x14ac:dyDescent="0.2">
      <c r="A36" s="45"/>
      <c r="B36" s="690"/>
      <c r="C36" s="48"/>
      <c r="D36" s="719" t="s">
        <v>44</v>
      </c>
      <c r="E36" s="720"/>
      <c r="F36" s="18"/>
      <c r="G36" s="25">
        <f>'Carro Forte'!T37</f>
        <v>3000</v>
      </c>
      <c r="H36" s="18"/>
      <c r="I36" s="687" t="s">
        <v>35</v>
      </c>
      <c r="J36" s="688"/>
      <c r="K36" s="689"/>
      <c r="L36" s="18"/>
      <c r="M36" s="73">
        <f>G40-G27</f>
        <v>5000</v>
      </c>
      <c r="N36" s="18"/>
      <c r="O36" s="684">
        <f>Caderno!C127</f>
        <v>0</v>
      </c>
      <c r="P36" s="18"/>
      <c r="Q36" s="51"/>
      <c r="R36" s="47"/>
    </row>
    <row r="37" spans="1:21" customFormat="1" ht="20.100000000000001" customHeight="1" x14ac:dyDescent="0.2">
      <c r="A37" s="45"/>
      <c r="B37" s="690"/>
      <c r="C37" s="48"/>
      <c r="D37" s="717" t="s">
        <v>42</v>
      </c>
      <c r="E37" s="718"/>
      <c r="F37" s="18"/>
      <c r="G37" s="26">
        <f>'Carro Forte'!T23</f>
        <v>0</v>
      </c>
      <c r="H37" s="18"/>
      <c r="I37" s="714" t="s">
        <v>36</v>
      </c>
      <c r="J37" s="715"/>
      <c r="K37" s="716"/>
      <c r="L37" s="18"/>
      <c r="M37" s="74">
        <f>(Caderno!F104)*-1</f>
        <v>100</v>
      </c>
      <c r="N37" s="18"/>
      <c r="O37" s="685"/>
      <c r="P37" s="18"/>
      <c r="Q37" s="51"/>
      <c r="R37" s="47"/>
    </row>
    <row r="38" spans="1:21" customFormat="1" ht="20.100000000000001" customHeight="1" x14ac:dyDescent="0.2">
      <c r="A38" s="45"/>
      <c r="B38" s="690"/>
      <c r="C38" s="48"/>
      <c r="D38" s="721" t="s">
        <v>43</v>
      </c>
      <c r="E38" s="722"/>
      <c r="F38" s="18"/>
      <c r="G38" s="27">
        <f>'Carro Forte'!AS37</f>
        <v>5000</v>
      </c>
      <c r="H38" s="18"/>
      <c r="I38" s="738" t="s">
        <v>37</v>
      </c>
      <c r="J38" s="739"/>
      <c r="K38" s="740"/>
      <c r="L38" s="18"/>
      <c r="M38" s="101">
        <f>Caderno!F119</f>
        <v>0</v>
      </c>
      <c r="N38" s="18"/>
      <c r="O38" s="685"/>
      <c r="P38" s="18"/>
      <c r="Q38" s="51"/>
      <c r="R38" s="47"/>
    </row>
    <row r="39" spans="1:21" customFormat="1" ht="5.0999999999999996" customHeight="1" x14ac:dyDescent="0.2">
      <c r="A39" s="45"/>
      <c r="B39" s="690"/>
      <c r="C39" s="48"/>
      <c r="D39" s="18"/>
      <c r="E39" s="18"/>
      <c r="F39" s="18"/>
      <c r="G39" s="68"/>
      <c r="H39" s="18"/>
      <c r="I39" s="34"/>
      <c r="J39" s="34"/>
      <c r="K39" s="16"/>
      <c r="L39" s="18"/>
      <c r="M39" s="75"/>
      <c r="N39" s="18"/>
      <c r="O39" s="685"/>
      <c r="P39" s="18"/>
      <c r="Q39" s="51"/>
      <c r="R39" s="47"/>
    </row>
    <row r="40" spans="1:21" customFormat="1" ht="20.100000000000001" customHeight="1" x14ac:dyDescent="0.2">
      <c r="A40" s="45"/>
      <c r="B40" s="690"/>
      <c r="C40" s="48"/>
      <c r="D40" s="744" t="s">
        <v>8</v>
      </c>
      <c r="E40" s="745"/>
      <c r="F40" s="18"/>
      <c r="G40" s="28">
        <f>G36-G37+G38</f>
        <v>8000</v>
      </c>
      <c r="H40" s="18"/>
      <c r="I40" s="702" t="s">
        <v>38</v>
      </c>
      <c r="J40" s="703"/>
      <c r="K40" s="704"/>
      <c r="L40" s="18"/>
      <c r="M40" s="76">
        <f>M36+M37+M38</f>
        <v>5100</v>
      </c>
      <c r="N40" s="18"/>
      <c r="O40" s="686"/>
      <c r="P40" s="18"/>
      <c r="Q40" s="51"/>
      <c r="R40" s="47"/>
    </row>
    <row r="41" spans="1:21" s="10" customFormat="1" ht="5.0999999999999996" customHeight="1" x14ac:dyDescent="0.25">
      <c r="A41" s="54"/>
      <c r="B41" s="690"/>
      <c r="C41" s="48"/>
      <c r="D41" s="18"/>
      <c r="E41" s="18"/>
      <c r="F41" s="18"/>
      <c r="G41" s="68"/>
      <c r="H41" s="18"/>
      <c r="I41" s="69"/>
      <c r="J41" s="69"/>
      <c r="K41" s="70"/>
      <c r="L41" s="18"/>
      <c r="M41" s="18"/>
      <c r="N41" s="18"/>
      <c r="O41" s="18"/>
      <c r="P41" s="18"/>
      <c r="Q41" s="51"/>
      <c r="R41" s="56"/>
    </row>
    <row r="42" spans="1:21" customFormat="1" ht="9.9499999999999993" customHeight="1" x14ac:dyDescent="0.25">
      <c r="A42" s="45"/>
      <c r="B42" s="690"/>
      <c r="C42" s="116"/>
      <c r="D42" s="51"/>
      <c r="E42" s="51"/>
      <c r="F42" s="51"/>
      <c r="G42" s="71"/>
      <c r="H42" s="51"/>
      <c r="I42" s="72"/>
      <c r="J42" s="72"/>
      <c r="K42" s="72"/>
      <c r="L42" s="51"/>
      <c r="M42" s="51"/>
      <c r="N42" s="51"/>
      <c r="O42" s="51"/>
      <c r="P42" s="51"/>
      <c r="Q42" s="51"/>
      <c r="R42" s="47"/>
    </row>
    <row r="43" spans="1:21" x14ac:dyDescent="0.2">
      <c r="A43" s="40"/>
      <c r="B43" s="2"/>
      <c r="C43" s="14"/>
      <c r="D43" s="2"/>
      <c r="E43" s="2"/>
      <c r="F43" s="2"/>
      <c r="G43" s="2" t="s">
        <v>26</v>
      </c>
      <c r="H43" s="2"/>
      <c r="I43" s="4"/>
      <c r="J43" s="4"/>
      <c r="K43" s="2"/>
      <c r="L43" s="2"/>
      <c r="M43" s="2"/>
      <c r="N43" s="2"/>
      <c r="O43" s="2"/>
      <c r="P43" s="14"/>
      <c r="Q43" s="2"/>
      <c r="R43" s="43"/>
    </row>
    <row r="44" spans="1:21" ht="5.0999999999999996" customHeight="1" thickBot="1" x14ac:dyDescent="0.25">
      <c r="A44" s="40"/>
      <c r="B44" s="2"/>
      <c r="C44" s="109"/>
      <c r="D44" s="109"/>
      <c r="E44" s="109"/>
      <c r="F44" s="109"/>
      <c r="G44" s="109"/>
      <c r="H44" s="109"/>
      <c r="I44" s="111"/>
      <c r="J44" s="111"/>
      <c r="K44" s="109"/>
      <c r="L44" s="109"/>
      <c r="M44" s="109"/>
      <c r="N44" s="109"/>
      <c r="O44" s="109"/>
      <c r="P44" s="109"/>
      <c r="Q44" s="109"/>
      <c r="R44" s="43"/>
    </row>
    <row r="45" spans="1:21" ht="5.0999999999999996" customHeight="1" thickTop="1" thickBot="1" x14ac:dyDescent="0.25">
      <c r="A45" s="40"/>
      <c r="B45" s="2"/>
      <c r="C45" s="109"/>
      <c r="D45" s="78"/>
      <c r="E45" s="79"/>
      <c r="F45" s="79"/>
      <c r="G45" s="79"/>
      <c r="H45" s="79"/>
      <c r="I45" s="80"/>
      <c r="J45" s="80"/>
      <c r="K45" s="79"/>
      <c r="L45" s="79"/>
      <c r="M45" s="79"/>
      <c r="N45" s="79"/>
      <c r="O45" s="79"/>
      <c r="P45" s="81"/>
      <c r="Q45" s="109"/>
      <c r="R45" s="43"/>
    </row>
    <row r="46" spans="1:21" ht="14.45" customHeight="1" thickBot="1" x14ac:dyDescent="0.25">
      <c r="A46" s="40"/>
      <c r="B46" s="2"/>
      <c r="C46" s="109"/>
      <c r="D46" s="82"/>
      <c r="E46" s="746" t="s">
        <v>95</v>
      </c>
      <c r="F46" s="747"/>
      <c r="G46" s="747"/>
      <c r="H46" s="747"/>
      <c r="I46" s="748"/>
      <c r="J46" s="34"/>
      <c r="K46" s="16"/>
      <c r="L46" s="16"/>
      <c r="M46" s="16"/>
      <c r="N46" s="16"/>
      <c r="O46" s="16"/>
      <c r="P46" s="83"/>
      <c r="Q46" s="109"/>
      <c r="R46" s="43"/>
    </row>
    <row r="47" spans="1:21" ht="5.0999999999999996" customHeight="1" thickBot="1" x14ac:dyDescent="0.25">
      <c r="A47" s="40"/>
      <c r="B47" s="2"/>
      <c r="C47" s="109"/>
      <c r="D47" s="82"/>
      <c r="E47" s="16"/>
      <c r="F47" s="16"/>
      <c r="G47" s="16"/>
      <c r="H47" s="16"/>
      <c r="I47" s="34"/>
      <c r="J47" s="34"/>
      <c r="K47" s="16"/>
      <c r="L47" s="16"/>
      <c r="M47" s="16"/>
      <c r="N47" s="16"/>
      <c r="O47" s="16"/>
      <c r="P47" s="83"/>
      <c r="Q47" s="109"/>
      <c r="R47" s="43"/>
    </row>
    <row r="48" spans="1:21" ht="15.75" thickBot="1" x14ac:dyDescent="0.25">
      <c r="A48" s="40"/>
      <c r="B48" s="2"/>
      <c r="C48" s="109"/>
      <c r="D48" s="82"/>
      <c r="E48" s="741" t="str">
        <f>B7</f>
        <v>BASE</v>
      </c>
      <c r="F48" s="742"/>
      <c r="G48" s="742"/>
      <c r="H48" s="742"/>
      <c r="I48" s="743"/>
      <c r="J48" s="34"/>
      <c r="K48" s="16"/>
      <c r="L48" s="746" t="s">
        <v>97</v>
      </c>
      <c r="M48" s="747"/>
      <c r="N48" s="747"/>
      <c r="O48" s="748"/>
      <c r="P48" s="83"/>
      <c r="Q48" s="109"/>
      <c r="R48" s="43"/>
    </row>
    <row r="49" spans="1:18" ht="5.0999999999999996" customHeight="1" thickBot="1" x14ac:dyDescent="0.25">
      <c r="A49" s="40"/>
      <c r="B49" s="2"/>
      <c r="C49" s="109"/>
      <c r="D49" s="82"/>
      <c r="E49" s="16"/>
      <c r="F49" s="16"/>
      <c r="G49" s="16"/>
      <c r="H49" s="16"/>
      <c r="I49" s="34"/>
      <c r="J49" s="34"/>
      <c r="K49" s="16"/>
      <c r="L49" s="16"/>
      <c r="M49" s="16"/>
      <c r="N49" s="16"/>
      <c r="O49" s="16"/>
      <c r="P49" s="83"/>
      <c r="Q49" s="109"/>
      <c r="R49" s="43"/>
    </row>
    <row r="50" spans="1:18" ht="13.5" thickTop="1" x14ac:dyDescent="0.2">
      <c r="A50" s="40"/>
      <c r="B50" s="2"/>
      <c r="C50" s="109"/>
      <c r="D50" s="82"/>
      <c r="E50" s="732" t="str">
        <f>Caderno!J104</f>
        <v>cheque</v>
      </c>
      <c r="F50" s="733"/>
      <c r="G50" s="734"/>
      <c r="H50" s="16"/>
      <c r="I50" s="102">
        <f>Caderno!N104</f>
        <v>100</v>
      </c>
      <c r="J50" s="34"/>
      <c r="K50" s="16"/>
      <c r="L50" s="450"/>
      <c r="M50" s="453" t="str">
        <f>Caderno!D127</f>
        <v>SM</v>
      </c>
      <c r="N50" s="758">
        <f>Caderno!E127</f>
        <v>0</v>
      </c>
      <c r="O50" s="759"/>
      <c r="P50" s="83"/>
      <c r="Q50" s="109"/>
      <c r="R50" s="43"/>
    </row>
    <row r="51" spans="1:18" x14ac:dyDescent="0.2">
      <c r="A51" s="40"/>
      <c r="B51" s="2"/>
      <c r="C51" s="109"/>
      <c r="D51" s="82"/>
      <c r="E51" s="735">
        <f>Caderno!J105</f>
        <v>0</v>
      </c>
      <c r="F51" s="736"/>
      <c r="G51" s="737"/>
      <c r="H51" s="16"/>
      <c r="I51" s="103">
        <f>Caderno!N105</f>
        <v>0</v>
      </c>
      <c r="J51" s="34"/>
      <c r="K51" s="16"/>
      <c r="L51" s="451"/>
      <c r="M51" s="454" t="str">
        <f>Caderno!D128</f>
        <v xml:space="preserve"> Federal</v>
      </c>
      <c r="N51" s="754">
        <f>Caderno!E128</f>
        <v>0</v>
      </c>
      <c r="O51" s="755"/>
      <c r="P51" s="83"/>
      <c r="Q51" s="109"/>
      <c r="R51" s="43"/>
    </row>
    <row r="52" spans="1:18" x14ac:dyDescent="0.2">
      <c r="A52" s="40"/>
      <c r="B52" s="2"/>
      <c r="C52" s="109"/>
      <c r="D52" s="82"/>
      <c r="E52" s="735">
        <f>Caderno!J106</f>
        <v>0</v>
      </c>
      <c r="F52" s="736"/>
      <c r="G52" s="737"/>
      <c r="H52" s="16"/>
      <c r="I52" s="103">
        <f>Caderno!N106</f>
        <v>0</v>
      </c>
      <c r="J52" s="34"/>
      <c r="K52" s="16"/>
      <c r="L52" s="451"/>
      <c r="M52" s="454" t="str">
        <f>Caderno!D129</f>
        <v>com.federal</v>
      </c>
      <c r="N52" s="754">
        <f>Caderno!E129</f>
        <v>0</v>
      </c>
      <c r="O52" s="755"/>
      <c r="P52" s="83"/>
      <c r="Q52" s="109"/>
      <c r="R52" s="43"/>
    </row>
    <row r="53" spans="1:18" ht="13.5" thickBot="1" x14ac:dyDescent="0.25">
      <c r="A53" s="40"/>
      <c r="B53" s="2"/>
      <c r="C53" s="109"/>
      <c r="D53" s="82"/>
      <c r="E53" s="735">
        <f>Caderno!J107</f>
        <v>0</v>
      </c>
      <c r="F53" s="736"/>
      <c r="G53" s="737"/>
      <c r="H53" s="16"/>
      <c r="I53" s="103">
        <f>Caderno!N107</f>
        <v>0</v>
      </c>
      <c r="J53" s="34"/>
      <c r="K53" s="16"/>
      <c r="L53" s="451"/>
      <c r="M53" s="455" t="str">
        <f>Caderno!D130</f>
        <v>Diversos</v>
      </c>
      <c r="N53" s="756">
        <f>Caderno!E130</f>
        <v>0</v>
      </c>
      <c r="O53" s="757"/>
      <c r="P53" s="83"/>
      <c r="Q53" s="109"/>
      <c r="R53" s="43"/>
    </row>
    <row r="54" spans="1:18" ht="14.25" thickTop="1" thickBot="1" x14ac:dyDescent="0.25">
      <c r="A54" s="40"/>
      <c r="B54" s="2"/>
      <c r="C54" s="109"/>
      <c r="D54" s="82"/>
      <c r="E54" s="735">
        <f>Caderno!J108</f>
        <v>0</v>
      </c>
      <c r="F54" s="736"/>
      <c r="G54" s="737"/>
      <c r="H54" s="16"/>
      <c r="I54" s="103">
        <f>Caderno!N108</f>
        <v>0</v>
      </c>
      <c r="J54" s="34"/>
      <c r="K54" s="16"/>
      <c r="L54" s="452"/>
      <c r="M54" s="449" t="s">
        <v>7</v>
      </c>
      <c r="N54" s="752">
        <f>SUM(N50:O53)</f>
        <v>0</v>
      </c>
      <c r="O54" s="753"/>
      <c r="P54" s="83"/>
      <c r="Q54" s="109"/>
      <c r="R54" s="43"/>
    </row>
    <row r="55" spans="1:18" ht="13.5" thickTop="1" x14ac:dyDescent="0.2">
      <c r="A55" s="40"/>
      <c r="B55" s="2"/>
      <c r="C55" s="109"/>
      <c r="D55" s="82"/>
      <c r="E55" s="735">
        <f>Caderno!J109</f>
        <v>0</v>
      </c>
      <c r="F55" s="736"/>
      <c r="G55" s="737"/>
      <c r="H55" s="16"/>
      <c r="I55" s="103">
        <f>Caderno!N109</f>
        <v>0</v>
      </c>
      <c r="J55" s="34"/>
      <c r="K55" s="16"/>
      <c r="L55" s="16"/>
      <c r="M55" s="16"/>
      <c r="N55" s="16"/>
      <c r="O55" s="16"/>
      <c r="P55" s="83"/>
      <c r="Q55" s="109"/>
      <c r="R55" s="43"/>
    </row>
    <row r="56" spans="1:18" x14ac:dyDescent="0.2">
      <c r="A56" s="40"/>
      <c r="B56" s="2"/>
      <c r="C56" s="109"/>
      <c r="D56" s="82"/>
      <c r="E56" s="735">
        <f>Caderno!J110</f>
        <v>0</v>
      </c>
      <c r="F56" s="736"/>
      <c r="G56" s="737"/>
      <c r="H56" s="16"/>
      <c r="I56" s="103">
        <f>Caderno!N110</f>
        <v>0</v>
      </c>
      <c r="J56" s="34"/>
      <c r="K56" s="16"/>
      <c r="L56" s="16"/>
      <c r="M56" s="16"/>
      <c r="N56" s="16"/>
      <c r="O56" s="16"/>
      <c r="P56" s="83"/>
      <c r="Q56" s="109"/>
      <c r="R56" s="43"/>
    </row>
    <row r="57" spans="1:18" x14ac:dyDescent="0.2">
      <c r="A57" s="40"/>
      <c r="B57" s="2"/>
      <c r="C57" s="109"/>
      <c r="D57" s="82"/>
      <c r="E57" s="735">
        <f>Caderno!J111</f>
        <v>0</v>
      </c>
      <c r="F57" s="736"/>
      <c r="G57" s="737"/>
      <c r="H57" s="16"/>
      <c r="I57" s="103">
        <f>Caderno!N111</f>
        <v>0</v>
      </c>
      <c r="J57" s="34"/>
      <c r="K57" s="16"/>
      <c r="L57" s="16"/>
      <c r="M57" s="16"/>
      <c r="N57" s="16"/>
      <c r="O57" s="16"/>
      <c r="P57" s="83"/>
      <c r="Q57" s="109"/>
      <c r="R57" s="43"/>
    </row>
    <row r="58" spans="1:18" x14ac:dyDescent="0.2">
      <c r="A58" s="40"/>
      <c r="B58" s="2"/>
      <c r="C58" s="109"/>
      <c r="D58" s="82"/>
      <c r="E58" s="735">
        <f>Caderno!J112</f>
        <v>0</v>
      </c>
      <c r="F58" s="736"/>
      <c r="G58" s="737"/>
      <c r="H58" s="16"/>
      <c r="I58" s="103">
        <f>Caderno!N112</f>
        <v>0</v>
      </c>
      <c r="J58" s="34"/>
      <c r="K58" s="16"/>
      <c r="L58" s="16"/>
      <c r="M58" s="16"/>
      <c r="N58" s="16"/>
      <c r="O58" s="16"/>
      <c r="P58" s="83"/>
      <c r="Q58" s="109"/>
      <c r="R58" s="43"/>
    </row>
    <row r="59" spans="1:18" x14ac:dyDescent="0.2">
      <c r="A59" s="40"/>
      <c r="B59" s="2"/>
      <c r="C59" s="109"/>
      <c r="D59" s="82"/>
      <c r="E59" s="735">
        <f>Caderno!J113</f>
        <v>0</v>
      </c>
      <c r="F59" s="736"/>
      <c r="G59" s="737"/>
      <c r="H59" s="16"/>
      <c r="I59" s="103">
        <f>Caderno!N113</f>
        <v>0</v>
      </c>
      <c r="J59" s="34"/>
      <c r="K59" s="16"/>
      <c r="L59" s="16"/>
      <c r="M59" s="16"/>
      <c r="N59" s="16"/>
      <c r="O59" s="16"/>
      <c r="P59" s="83"/>
      <c r="Q59" s="109"/>
      <c r="R59" s="43"/>
    </row>
    <row r="60" spans="1:18" x14ac:dyDescent="0.2">
      <c r="A60" s="40"/>
      <c r="B60" s="2"/>
      <c r="C60" s="109"/>
      <c r="D60" s="82"/>
      <c r="E60" s="735">
        <f>Caderno!J114</f>
        <v>0</v>
      </c>
      <c r="F60" s="736"/>
      <c r="G60" s="737"/>
      <c r="H60" s="16"/>
      <c r="I60" s="103">
        <f>Caderno!N114</f>
        <v>0</v>
      </c>
      <c r="J60" s="34"/>
      <c r="K60" s="16"/>
      <c r="L60" s="16"/>
      <c r="M60" s="16"/>
      <c r="N60" s="16"/>
      <c r="O60" s="16"/>
      <c r="P60" s="83"/>
      <c r="Q60" s="109"/>
      <c r="R60" s="43"/>
    </row>
    <row r="61" spans="1:18" x14ac:dyDescent="0.2">
      <c r="A61" s="40"/>
      <c r="B61" s="2"/>
      <c r="C61" s="109"/>
      <c r="D61" s="82"/>
      <c r="E61" s="735">
        <f>Caderno!J115</f>
        <v>0</v>
      </c>
      <c r="F61" s="736"/>
      <c r="G61" s="737"/>
      <c r="H61" s="16"/>
      <c r="I61" s="103">
        <f>Caderno!N115</f>
        <v>0</v>
      </c>
      <c r="J61" s="34"/>
      <c r="K61" s="16"/>
      <c r="L61" s="16"/>
      <c r="M61" s="16"/>
      <c r="N61" s="16"/>
      <c r="O61" s="16"/>
      <c r="P61" s="83"/>
      <c r="Q61" s="109"/>
      <c r="R61" s="43"/>
    </row>
    <row r="62" spans="1:18" x14ac:dyDescent="0.2">
      <c r="A62" s="40"/>
      <c r="B62" s="2"/>
      <c r="C62" s="109"/>
      <c r="D62" s="82"/>
      <c r="E62" s="735">
        <f>Caderno!J116</f>
        <v>0</v>
      </c>
      <c r="F62" s="736"/>
      <c r="G62" s="737"/>
      <c r="H62" s="16"/>
      <c r="I62" s="103">
        <f>Caderno!N116</f>
        <v>0</v>
      </c>
      <c r="J62" s="34"/>
      <c r="K62" s="16"/>
      <c r="L62" s="16"/>
      <c r="M62" s="16"/>
      <c r="N62" s="16"/>
      <c r="O62" s="16"/>
      <c r="P62" s="83"/>
      <c r="Q62" s="109"/>
      <c r="R62" s="43"/>
    </row>
    <row r="63" spans="1:18" x14ac:dyDescent="0.2">
      <c r="A63" s="40"/>
      <c r="B63" s="2"/>
      <c r="C63" s="109"/>
      <c r="D63" s="82"/>
      <c r="E63" s="735">
        <f>Caderno!J117</f>
        <v>0</v>
      </c>
      <c r="F63" s="736"/>
      <c r="G63" s="737"/>
      <c r="H63" s="16"/>
      <c r="I63" s="103">
        <f>Caderno!N117</f>
        <v>0</v>
      </c>
      <c r="J63" s="34"/>
      <c r="K63" s="16"/>
      <c r="L63" s="16"/>
      <c r="M63" s="16"/>
      <c r="N63" s="16"/>
      <c r="O63" s="16"/>
      <c r="P63" s="83"/>
      <c r="Q63" s="109"/>
      <c r="R63" s="43"/>
    </row>
    <row r="64" spans="1:18" ht="13.5" thickBot="1" x14ac:dyDescent="0.25">
      <c r="A64" s="40"/>
      <c r="B64" s="2"/>
      <c r="C64" s="109"/>
      <c r="D64" s="82"/>
      <c r="E64" s="749">
        <f>Caderno!J118</f>
        <v>0</v>
      </c>
      <c r="F64" s="750"/>
      <c r="G64" s="751"/>
      <c r="H64" s="16"/>
      <c r="I64" s="104">
        <f>Caderno!N118</f>
        <v>0</v>
      </c>
      <c r="J64" s="34"/>
      <c r="K64" s="16"/>
      <c r="L64" s="16"/>
      <c r="M64" s="16"/>
      <c r="N64" s="16"/>
      <c r="O64" s="16"/>
      <c r="P64" s="83"/>
      <c r="Q64" s="109"/>
      <c r="R64" s="43"/>
    </row>
    <row r="65" spans="1:18" ht="5.0999999999999996" customHeight="1" thickBot="1" x14ac:dyDescent="0.25">
      <c r="A65" s="40"/>
      <c r="B65" s="2"/>
      <c r="C65" s="109"/>
      <c r="D65" s="82"/>
      <c r="E65" s="16"/>
      <c r="F65" s="16"/>
      <c r="G65" s="16"/>
      <c r="H65" s="16"/>
      <c r="I65" s="34"/>
      <c r="J65" s="34"/>
      <c r="K65" s="16"/>
      <c r="L65" s="16"/>
      <c r="M65" s="16"/>
      <c r="N65" s="16"/>
      <c r="O65" s="16"/>
      <c r="P65" s="83"/>
      <c r="Q65" s="109"/>
      <c r="R65" s="43"/>
    </row>
    <row r="66" spans="1:18" ht="13.5" thickBot="1" x14ac:dyDescent="0.25">
      <c r="A66" s="40"/>
      <c r="B66" s="2"/>
      <c r="C66" s="109"/>
      <c r="D66" s="82"/>
      <c r="E66" s="16"/>
      <c r="F66" s="16"/>
      <c r="G66" s="16"/>
      <c r="H66" s="16"/>
      <c r="I66" s="105">
        <f>SUM(I50:I64)</f>
        <v>100</v>
      </c>
      <c r="J66" s="34"/>
      <c r="K66" s="16"/>
      <c r="L66" s="16"/>
      <c r="M66" s="16"/>
      <c r="N66" s="16"/>
      <c r="O66" s="16"/>
      <c r="P66" s="83"/>
      <c r="Q66" s="109"/>
      <c r="R66" s="43"/>
    </row>
    <row r="67" spans="1:18" ht="5.0999999999999996" customHeight="1" x14ac:dyDescent="0.2">
      <c r="A67" s="40"/>
      <c r="B67" s="2"/>
      <c r="C67" s="109"/>
      <c r="D67" s="82"/>
      <c r="E67" s="16"/>
      <c r="F67" s="16"/>
      <c r="G67" s="16"/>
      <c r="H67" s="16"/>
      <c r="I67" s="84"/>
      <c r="J67" s="34"/>
      <c r="K67" s="108"/>
      <c r="L67" s="108"/>
      <c r="M67" s="108"/>
      <c r="N67" s="108"/>
      <c r="O67" s="108"/>
      <c r="P67" s="83"/>
      <c r="Q67" s="109"/>
      <c r="R67" s="43"/>
    </row>
    <row r="68" spans="1:18" x14ac:dyDescent="0.2">
      <c r="A68" s="40"/>
      <c r="B68" s="2"/>
      <c r="C68" s="109"/>
      <c r="D68" s="82"/>
      <c r="E68" s="16"/>
      <c r="F68" s="16"/>
      <c r="G68" s="16"/>
      <c r="H68" s="16"/>
      <c r="I68" s="85"/>
      <c r="J68" s="34"/>
      <c r="K68" s="108"/>
      <c r="L68" s="108"/>
      <c r="M68" s="108"/>
      <c r="N68" s="108"/>
      <c r="O68" s="108"/>
      <c r="P68" s="83"/>
      <c r="Q68" s="109"/>
      <c r="R68" s="43"/>
    </row>
    <row r="69" spans="1:18" ht="5.0999999999999996" customHeight="1" thickBot="1" x14ac:dyDescent="0.25">
      <c r="A69" s="40"/>
      <c r="B69" s="2"/>
      <c r="C69" s="109"/>
      <c r="D69" s="86"/>
      <c r="E69" s="87"/>
      <c r="F69" s="87"/>
      <c r="G69" s="87"/>
      <c r="H69" s="87"/>
      <c r="I69" s="88"/>
      <c r="J69" s="89"/>
      <c r="K69" s="87"/>
      <c r="L69" s="87"/>
      <c r="M69" s="87"/>
      <c r="N69" s="87"/>
      <c r="O69" s="87"/>
      <c r="P69" s="90"/>
      <c r="Q69" s="109"/>
      <c r="R69" s="43"/>
    </row>
    <row r="70" spans="1:18" ht="5.0999999999999996" customHeight="1" thickTop="1" x14ac:dyDescent="0.2">
      <c r="A70" s="40"/>
      <c r="B70" s="2"/>
      <c r="C70" s="109"/>
      <c r="D70" s="109"/>
      <c r="E70" s="109"/>
      <c r="F70" s="109"/>
      <c r="G70" s="109"/>
      <c r="H70" s="109"/>
      <c r="I70" s="110"/>
      <c r="J70" s="111"/>
      <c r="K70" s="109"/>
      <c r="L70" s="109"/>
      <c r="M70" s="109"/>
      <c r="N70" s="109"/>
      <c r="O70" s="109"/>
      <c r="P70" s="109"/>
      <c r="Q70" s="109"/>
      <c r="R70" s="43"/>
    </row>
    <row r="71" spans="1:18" ht="13.5" thickBot="1" x14ac:dyDescent="0.25">
      <c r="A71" s="95"/>
      <c r="B71" s="96"/>
      <c r="C71" s="97"/>
      <c r="D71" s="96"/>
      <c r="E71" s="96"/>
      <c r="F71" s="96"/>
      <c r="G71" s="96"/>
      <c r="H71" s="96"/>
      <c r="I71" s="98"/>
      <c r="J71" s="99"/>
      <c r="K71" s="96"/>
      <c r="L71" s="96"/>
      <c r="M71" s="96"/>
      <c r="N71" s="96"/>
      <c r="O71" s="96"/>
      <c r="P71" s="97"/>
      <c r="Q71" s="96"/>
      <c r="R71" s="100"/>
    </row>
    <row r="72" spans="1:18" ht="13.5" thickTop="1" x14ac:dyDescent="0.2">
      <c r="I72" s="77"/>
    </row>
    <row r="73" spans="1:18" x14ac:dyDescent="0.2">
      <c r="I73" s="77"/>
    </row>
    <row r="74" spans="1:18" x14ac:dyDescent="0.2">
      <c r="I74" s="77"/>
    </row>
  </sheetData>
  <mergeCells count="46">
    <mergeCell ref="N54:O54"/>
    <mergeCell ref="N51:O51"/>
    <mergeCell ref="N52:O52"/>
    <mergeCell ref="N53:O53"/>
    <mergeCell ref="L48:O48"/>
    <mergeCell ref="N50:O50"/>
    <mergeCell ref="E64:G64"/>
    <mergeCell ref="E56:G56"/>
    <mergeCell ref="E57:G57"/>
    <mergeCell ref="E58:G58"/>
    <mergeCell ref="E59:G59"/>
    <mergeCell ref="E62:G62"/>
    <mergeCell ref="E60:G60"/>
    <mergeCell ref="E63:G63"/>
    <mergeCell ref="E50:G50"/>
    <mergeCell ref="E61:G61"/>
    <mergeCell ref="I38:K38"/>
    <mergeCell ref="E54:G54"/>
    <mergeCell ref="E48:I48"/>
    <mergeCell ref="D40:E40"/>
    <mergeCell ref="E53:G53"/>
    <mergeCell ref="E52:G52"/>
    <mergeCell ref="E55:G55"/>
    <mergeCell ref="E51:G51"/>
    <mergeCell ref="E46:I46"/>
    <mergeCell ref="B2:Q2"/>
    <mergeCell ref="B4:Q4"/>
    <mergeCell ref="D13:E13"/>
    <mergeCell ref="D11:E11"/>
    <mergeCell ref="B7:Q7"/>
    <mergeCell ref="B6:E6"/>
    <mergeCell ref="O36:O40"/>
    <mergeCell ref="I36:K36"/>
    <mergeCell ref="B9:B42"/>
    <mergeCell ref="D34:G34"/>
    <mergeCell ref="D27:E27"/>
    <mergeCell ref="M31:M32"/>
    <mergeCell ref="O31:O32"/>
    <mergeCell ref="I31:I32"/>
    <mergeCell ref="I40:K40"/>
    <mergeCell ref="D29:G32"/>
    <mergeCell ref="I37:K37"/>
    <mergeCell ref="K31:K32"/>
    <mergeCell ref="D37:E37"/>
    <mergeCell ref="D36:E36"/>
    <mergeCell ref="D38:E38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6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rgb="FFFF0000"/>
    <pageSetUpPr fitToPage="1"/>
  </sheetPr>
  <dimension ref="A2:U67"/>
  <sheetViews>
    <sheetView topLeftCell="A7" workbookViewId="0">
      <selection activeCell="H19" sqref="H19:O20"/>
    </sheetView>
  </sheetViews>
  <sheetFormatPr defaultRowHeight="12.75" x14ac:dyDescent="0.2"/>
  <cols>
    <col min="2" max="3" width="1.7109375" customWidth="1"/>
    <col min="4" max="4" width="10.7109375" customWidth="1"/>
    <col min="5" max="5" width="1.7109375" customWidth="1"/>
    <col min="6" max="6" width="10.7109375" customWidth="1"/>
    <col min="7" max="7" width="1.7109375" customWidth="1"/>
    <col min="8" max="9" width="10.7109375" customWidth="1"/>
    <col min="10" max="10" width="1.7109375" customWidth="1"/>
    <col min="11" max="12" width="12.7109375" customWidth="1"/>
    <col min="13" max="13" width="1.7109375" customWidth="1"/>
    <col min="14" max="15" width="10.7109375" customWidth="1"/>
    <col min="16" max="17" width="1.7109375" customWidth="1"/>
  </cols>
  <sheetData>
    <row r="2" spans="1:17" ht="20.100000000000001" customHeight="1" x14ac:dyDescent="0.25">
      <c r="F2" s="768" t="s">
        <v>100</v>
      </c>
      <c r="G2" s="768"/>
      <c r="H2" s="768"/>
      <c r="I2" s="768"/>
      <c r="J2" s="768"/>
      <c r="K2" s="768"/>
      <c r="L2" s="768"/>
      <c r="M2" s="768"/>
      <c r="N2" s="768"/>
      <c r="O2" s="464" t="s">
        <v>101</v>
      </c>
    </row>
    <row r="3" spans="1:17" ht="20.100000000000001" customHeight="1" x14ac:dyDescent="0.2"/>
    <row r="5" spans="1:17" x14ac:dyDescent="0.2">
      <c r="A5" s="465" t="s">
        <v>102</v>
      </c>
      <c r="B5" s="769" t="s">
        <v>103</v>
      </c>
      <c r="C5" s="769"/>
      <c r="D5" s="769"/>
      <c r="E5" s="769"/>
      <c r="F5" s="769"/>
      <c r="G5" s="769"/>
      <c r="H5" s="769"/>
      <c r="I5" s="769"/>
      <c r="J5" s="769"/>
      <c r="K5" s="769"/>
      <c r="L5" s="769"/>
      <c r="M5" s="769"/>
      <c r="N5" s="769"/>
      <c r="O5" s="769"/>
      <c r="P5" s="769"/>
      <c r="Q5" s="769"/>
    </row>
    <row r="8" spans="1:17" x14ac:dyDescent="0.2"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</row>
    <row r="9" spans="1:17" ht="13.5" thickBot="1" x14ac:dyDescent="0.25">
      <c r="B9" s="301"/>
      <c r="Q9" s="301"/>
    </row>
    <row r="10" spans="1:17" ht="20.100000000000001" customHeight="1" x14ac:dyDescent="0.2">
      <c r="B10" s="301"/>
      <c r="D10" s="466"/>
      <c r="E10" s="467"/>
      <c r="F10" s="467"/>
      <c r="G10" s="467"/>
      <c r="H10" s="467"/>
      <c r="I10" s="467"/>
      <c r="J10" s="467"/>
      <c r="K10" s="468"/>
      <c r="L10" s="770" t="s">
        <v>50</v>
      </c>
      <c r="M10" s="772" t="str">
        <f>Caderno!D7</f>
        <v>BASE</v>
      </c>
      <c r="N10" s="772"/>
      <c r="O10" s="773"/>
      <c r="Q10" s="301"/>
    </row>
    <row r="11" spans="1:17" ht="20.100000000000001" customHeight="1" thickBot="1" x14ac:dyDescent="0.25">
      <c r="B11" s="301"/>
      <c r="D11" s="469"/>
      <c r="E11" s="470"/>
      <c r="F11" s="470"/>
      <c r="G11" s="470"/>
      <c r="H11" s="470"/>
      <c r="I11" s="470"/>
      <c r="J11" s="470"/>
      <c r="K11" s="471"/>
      <c r="L11" s="771"/>
      <c r="M11" s="774"/>
      <c r="N11" s="774"/>
      <c r="O11" s="775"/>
      <c r="Q11" s="301"/>
    </row>
    <row r="12" spans="1:17" x14ac:dyDescent="0.2">
      <c r="B12" s="301"/>
      <c r="Q12" s="301"/>
    </row>
    <row r="13" spans="1:17" x14ac:dyDescent="0.2">
      <c r="B13" s="301"/>
      <c r="D13" s="776" t="s">
        <v>51</v>
      </c>
      <c r="E13" s="776"/>
      <c r="F13" s="776"/>
      <c r="G13" s="776"/>
      <c r="H13" s="776"/>
      <c r="I13" s="776"/>
      <c r="J13" s="776"/>
      <c r="K13" s="776"/>
      <c r="L13" s="776"/>
      <c r="M13" s="776"/>
      <c r="N13" s="776"/>
      <c r="O13" s="776"/>
      <c r="P13" s="118"/>
      <c r="Q13" s="301"/>
    </row>
    <row r="14" spans="1:17" x14ac:dyDescent="0.2">
      <c r="B14" s="301"/>
      <c r="D14" s="776"/>
      <c r="E14" s="776"/>
      <c r="F14" s="776"/>
      <c r="G14" s="776"/>
      <c r="H14" s="776"/>
      <c r="I14" s="776"/>
      <c r="J14" s="776"/>
      <c r="K14" s="776"/>
      <c r="L14" s="776"/>
      <c r="M14" s="776"/>
      <c r="N14" s="776"/>
      <c r="O14" s="776"/>
      <c r="P14" s="118"/>
      <c r="Q14" s="301"/>
    </row>
    <row r="15" spans="1:17" ht="13.5" thickBot="1" x14ac:dyDescent="0.25">
      <c r="B15" s="301"/>
      <c r="Q15" s="301"/>
    </row>
    <row r="16" spans="1:17" x14ac:dyDescent="0.2">
      <c r="B16" s="301"/>
      <c r="D16" s="777" t="s">
        <v>104</v>
      </c>
      <c r="E16" s="778"/>
      <c r="F16" s="778"/>
      <c r="G16" s="459"/>
      <c r="H16" s="779" t="s">
        <v>120</v>
      </c>
      <c r="I16" s="779"/>
      <c r="J16" s="779"/>
      <c r="K16" s="779"/>
      <c r="L16" s="779"/>
      <c r="M16" s="779"/>
      <c r="N16" s="779"/>
      <c r="O16" s="780"/>
      <c r="Q16" s="301"/>
    </row>
    <row r="17" spans="2:21" ht="13.5" thickBot="1" x14ac:dyDescent="0.25">
      <c r="B17" s="301"/>
      <c r="D17" s="760"/>
      <c r="E17" s="761"/>
      <c r="F17" s="761"/>
      <c r="G17" s="460"/>
      <c r="H17" s="781"/>
      <c r="I17" s="781"/>
      <c r="J17" s="781"/>
      <c r="K17" s="781"/>
      <c r="L17" s="781"/>
      <c r="M17" s="781"/>
      <c r="N17" s="781"/>
      <c r="O17" s="764"/>
      <c r="Q17" s="301"/>
    </row>
    <row r="18" spans="2:21" ht="5.0999999999999996" customHeight="1" thickBot="1" x14ac:dyDescent="0.25">
      <c r="B18" s="301"/>
      <c r="Q18" s="301"/>
    </row>
    <row r="19" spans="2:21" x14ac:dyDescent="0.2">
      <c r="B19" s="301"/>
      <c r="D19" s="777" t="s">
        <v>52</v>
      </c>
      <c r="E19" s="778"/>
      <c r="F19" s="778"/>
      <c r="G19" s="459"/>
      <c r="H19" s="779" t="s">
        <v>121</v>
      </c>
      <c r="I19" s="779"/>
      <c r="J19" s="779"/>
      <c r="K19" s="779"/>
      <c r="L19" s="779"/>
      <c r="M19" s="779"/>
      <c r="N19" s="779"/>
      <c r="O19" s="780"/>
      <c r="Q19" s="301"/>
    </row>
    <row r="20" spans="2:21" ht="13.5" thickBot="1" x14ac:dyDescent="0.25">
      <c r="B20" s="301"/>
      <c r="D20" s="760"/>
      <c r="E20" s="761"/>
      <c r="F20" s="761"/>
      <c r="G20" s="460"/>
      <c r="H20" s="781"/>
      <c r="I20" s="781"/>
      <c r="J20" s="781"/>
      <c r="K20" s="781"/>
      <c r="L20" s="781"/>
      <c r="M20" s="781"/>
      <c r="N20" s="781"/>
      <c r="O20" s="764"/>
      <c r="Q20" s="301"/>
    </row>
    <row r="21" spans="2:21" ht="5.0999999999999996" customHeight="1" thickBot="1" x14ac:dyDescent="0.25">
      <c r="B21" s="301"/>
      <c r="Q21" s="301"/>
    </row>
    <row r="22" spans="2:21" x14ac:dyDescent="0.2">
      <c r="B22" s="301"/>
      <c r="D22" s="782" t="s">
        <v>81</v>
      </c>
      <c r="E22" s="783"/>
      <c r="F22" s="784"/>
      <c r="G22" s="119"/>
      <c r="H22" s="785" t="s">
        <v>82</v>
      </c>
      <c r="I22" s="786"/>
      <c r="J22" s="120"/>
      <c r="K22" s="463" t="s">
        <v>53</v>
      </c>
      <c r="L22" s="787"/>
      <c r="M22" s="787"/>
      <c r="N22" s="787"/>
      <c r="O22" s="788"/>
      <c r="Q22" s="301"/>
    </row>
    <row r="23" spans="2:21" ht="13.5" thickBot="1" x14ac:dyDescent="0.25">
      <c r="B23" s="301"/>
      <c r="D23" s="760">
        <v>2075</v>
      </c>
      <c r="E23" s="761"/>
      <c r="F23" s="762"/>
      <c r="G23" s="3"/>
      <c r="H23" s="763" t="s">
        <v>83</v>
      </c>
      <c r="I23" s="764"/>
      <c r="J23" s="3"/>
      <c r="K23" s="765" t="s">
        <v>122</v>
      </c>
      <c r="L23" s="766"/>
      <c r="M23" s="766"/>
      <c r="N23" s="766"/>
      <c r="O23" s="767"/>
      <c r="Q23" s="301"/>
    </row>
    <row r="24" spans="2:21" ht="5.0999999999999996" customHeight="1" thickBot="1" x14ac:dyDescent="0.25">
      <c r="B24" s="301"/>
      <c r="Q24" s="301"/>
    </row>
    <row r="25" spans="2:21" x14ac:dyDescent="0.2">
      <c r="B25" s="301"/>
      <c r="D25" s="777" t="s">
        <v>54</v>
      </c>
      <c r="E25" s="778"/>
      <c r="F25" s="778"/>
      <c r="G25" s="791"/>
      <c r="H25" s="791"/>
      <c r="I25" s="791"/>
      <c r="J25" s="791"/>
      <c r="K25" s="791"/>
      <c r="L25" s="791"/>
      <c r="M25" s="791"/>
      <c r="N25" s="791"/>
      <c r="O25" s="792"/>
      <c r="Q25" s="301"/>
    </row>
    <row r="26" spans="2:21" ht="13.5" thickBot="1" x14ac:dyDescent="0.25">
      <c r="B26" s="301"/>
      <c r="D26" s="760"/>
      <c r="E26" s="761"/>
      <c r="F26" s="761"/>
      <c r="G26" s="793"/>
      <c r="H26" s="793"/>
      <c r="I26" s="793"/>
      <c r="J26" s="793"/>
      <c r="K26" s="793"/>
      <c r="L26" s="793"/>
      <c r="M26" s="793"/>
      <c r="N26" s="793"/>
      <c r="O26" s="794"/>
      <c r="Q26" s="301"/>
    </row>
    <row r="27" spans="2:21" ht="5.0999999999999996" customHeight="1" thickBot="1" x14ac:dyDescent="0.25">
      <c r="B27" s="301"/>
      <c r="Q27" s="301"/>
    </row>
    <row r="28" spans="2:21" x14ac:dyDescent="0.2">
      <c r="B28" s="301"/>
      <c r="D28" s="777" t="s">
        <v>55</v>
      </c>
      <c r="E28" s="778"/>
      <c r="F28" s="778"/>
      <c r="G28" s="778"/>
      <c r="H28" s="779" t="s">
        <v>123</v>
      </c>
      <c r="I28" s="779"/>
      <c r="J28" s="779"/>
      <c r="K28" s="779"/>
      <c r="L28" s="779"/>
      <c r="M28" s="779"/>
      <c r="N28" s="779"/>
      <c r="O28" s="780"/>
      <c r="Q28" s="301"/>
    </row>
    <row r="29" spans="2:21" ht="13.5" thickBot="1" x14ac:dyDescent="0.25">
      <c r="B29" s="301"/>
      <c r="D29" s="760"/>
      <c r="E29" s="761"/>
      <c r="F29" s="761"/>
      <c r="G29" s="761"/>
      <c r="H29" s="781"/>
      <c r="I29" s="781"/>
      <c r="J29" s="781"/>
      <c r="K29" s="781"/>
      <c r="L29" s="781"/>
      <c r="M29" s="781"/>
      <c r="N29" s="781"/>
      <c r="O29" s="764"/>
      <c r="Q29" s="301"/>
    </row>
    <row r="30" spans="2:21" ht="15" customHeight="1" thickBot="1" x14ac:dyDescent="0.25">
      <c r="B30" s="301"/>
      <c r="Q30" s="301"/>
      <c r="U30" s="415"/>
    </row>
    <row r="31" spans="2:21" ht="13.5" thickBot="1" x14ac:dyDescent="0.25">
      <c r="B31" s="301"/>
      <c r="D31" s="795" t="s">
        <v>56</v>
      </c>
      <c r="E31" s="17"/>
      <c r="F31" s="795" t="s">
        <v>57</v>
      </c>
      <c r="H31" s="797" t="s">
        <v>58</v>
      </c>
      <c r="I31" s="798"/>
      <c r="K31" s="797" t="s">
        <v>59</v>
      </c>
      <c r="L31" s="798"/>
      <c r="M31" s="5"/>
      <c r="N31" s="797" t="s">
        <v>7</v>
      </c>
      <c r="O31" s="798"/>
      <c r="Q31" s="301"/>
    </row>
    <row r="32" spans="2:21" ht="13.5" thickBot="1" x14ac:dyDescent="0.25">
      <c r="B32" s="301"/>
      <c r="D32" s="796"/>
      <c r="F32" s="796"/>
      <c r="H32" s="121" t="s">
        <v>61</v>
      </c>
      <c r="I32" s="462" t="s">
        <v>1</v>
      </c>
      <c r="K32" s="121" t="s">
        <v>61</v>
      </c>
      <c r="L32" s="462" t="s">
        <v>1</v>
      </c>
      <c r="M32" s="5"/>
      <c r="N32" s="121" t="s">
        <v>61</v>
      </c>
      <c r="O32" s="462" t="s">
        <v>1</v>
      </c>
      <c r="Q32" s="301"/>
    </row>
    <row r="33" spans="2:17" ht="13.5" thickBot="1" x14ac:dyDescent="0.25">
      <c r="B33" s="301"/>
      <c r="Q33" s="301"/>
    </row>
    <row r="34" spans="2:17" x14ac:dyDescent="0.2">
      <c r="B34" s="301"/>
      <c r="D34" s="803">
        <v>1</v>
      </c>
      <c r="F34" s="795" t="s">
        <v>60</v>
      </c>
      <c r="H34" s="811"/>
      <c r="I34" s="801"/>
      <c r="K34" s="811"/>
      <c r="L34" s="789"/>
      <c r="N34" s="789"/>
      <c r="O34" s="801"/>
      <c r="Q34" s="301"/>
    </row>
    <row r="35" spans="2:17" ht="13.5" thickBot="1" x14ac:dyDescent="0.25">
      <c r="B35" s="301"/>
      <c r="D35" s="804"/>
      <c r="F35" s="796"/>
      <c r="H35" s="812"/>
      <c r="I35" s="802"/>
      <c r="K35" s="812"/>
      <c r="L35" s="790"/>
      <c r="N35" s="790"/>
      <c r="O35" s="802"/>
      <c r="Q35" s="301"/>
    </row>
    <row r="36" spans="2:17" x14ac:dyDescent="0.2">
      <c r="B36" s="301"/>
      <c r="D36" s="803">
        <v>2</v>
      </c>
      <c r="F36" s="795" t="s">
        <v>60</v>
      </c>
      <c r="H36" s="805">
        <f>'Carro Forte'!S32</f>
        <v>0</v>
      </c>
      <c r="I36" s="807">
        <f>D36*H36</f>
        <v>0</v>
      </c>
      <c r="K36" s="809">
        <f>'Carro Forte'!T32</f>
        <v>0</v>
      </c>
      <c r="L36" s="799">
        <f>D36*K36</f>
        <v>0</v>
      </c>
      <c r="N36" s="795">
        <f>H36+K36</f>
        <v>0</v>
      </c>
      <c r="O36" s="807">
        <f>D36*N36</f>
        <v>0</v>
      </c>
      <c r="Q36" s="301"/>
    </row>
    <row r="37" spans="2:17" ht="13.5" thickBot="1" x14ac:dyDescent="0.25">
      <c r="B37" s="301"/>
      <c r="D37" s="804"/>
      <c r="F37" s="796"/>
      <c r="H37" s="806"/>
      <c r="I37" s="808"/>
      <c r="K37" s="810"/>
      <c r="L37" s="800"/>
      <c r="N37" s="796"/>
      <c r="O37" s="808"/>
      <c r="Q37" s="301"/>
    </row>
    <row r="38" spans="2:17" x14ac:dyDescent="0.2">
      <c r="B38" s="301"/>
      <c r="D38" s="803">
        <v>5</v>
      </c>
      <c r="F38" s="795" t="s">
        <v>60</v>
      </c>
      <c r="H38" s="813">
        <f>'Carro Forte'!Q32</f>
        <v>0</v>
      </c>
      <c r="I38" s="807">
        <f>D38*H38</f>
        <v>0</v>
      </c>
      <c r="K38" s="809">
        <f>'Carro Forte'!R32</f>
        <v>0</v>
      </c>
      <c r="L38" s="799">
        <f>D38*K38</f>
        <v>0</v>
      </c>
      <c r="N38" s="795">
        <f>H38+K38</f>
        <v>0</v>
      </c>
      <c r="O38" s="807">
        <f>D38*N38</f>
        <v>0</v>
      </c>
      <c r="Q38" s="301"/>
    </row>
    <row r="39" spans="2:17" ht="13.5" thickBot="1" x14ac:dyDescent="0.25">
      <c r="B39" s="301"/>
      <c r="D39" s="804"/>
      <c r="F39" s="796"/>
      <c r="H39" s="760"/>
      <c r="I39" s="808"/>
      <c r="K39" s="810"/>
      <c r="L39" s="800"/>
      <c r="N39" s="796"/>
      <c r="O39" s="808"/>
      <c r="Q39" s="301"/>
    </row>
    <row r="40" spans="2:17" x14ac:dyDescent="0.2">
      <c r="B40" s="301"/>
      <c r="D40" s="803">
        <v>10</v>
      </c>
      <c r="F40" s="795" t="s">
        <v>62</v>
      </c>
      <c r="H40" s="813">
        <f>'Carro Forte'!P32</f>
        <v>0</v>
      </c>
      <c r="I40" s="807">
        <f>D40*H40</f>
        <v>0</v>
      </c>
      <c r="K40" s="811"/>
      <c r="L40" s="789"/>
      <c r="N40" s="795">
        <f>H40+K40</f>
        <v>0</v>
      </c>
      <c r="O40" s="807">
        <f>D40*N40</f>
        <v>0</v>
      </c>
      <c r="Q40" s="301"/>
    </row>
    <row r="41" spans="2:17" ht="13.5" thickBot="1" x14ac:dyDescent="0.25">
      <c r="B41" s="301"/>
      <c r="D41" s="804"/>
      <c r="F41" s="796"/>
      <c r="H41" s="760"/>
      <c r="I41" s="808"/>
      <c r="K41" s="812"/>
      <c r="L41" s="790"/>
      <c r="N41" s="796"/>
      <c r="O41" s="808"/>
      <c r="Q41" s="301"/>
    </row>
    <row r="42" spans="2:17" x14ac:dyDescent="0.2">
      <c r="B42" s="301"/>
      <c r="D42" s="803">
        <v>10</v>
      </c>
      <c r="F42" s="795" t="s">
        <v>60</v>
      </c>
      <c r="H42" s="813">
        <f>'Carro Forte'!N32</f>
        <v>0</v>
      </c>
      <c r="I42" s="807">
        <f>D42*H42</f>
        <v>0</v>
      </c>
      <c r="K42" s="809">
        <f>'Carro Forte'!O32</f>
        <v>0</v>
      </c>
      <c r="L42" s="799">
        <f>D42*K42</f>
        <v>0</v>
      </c>
      <c r="N42" s="795">
        <f>H42+K42</f>
        <v>0</v>
      </c>
      <c r="O42" s="807">
        <f>D42*N42</f>
        <v>0</v>
      </c>
      <c r="Q42" s="301"/>
    </row>
    <row r="43" spans="2:17" ht="13.5" thickBot="1" x14ac:dyDescent="0.25">
      <c r="B43" s="301"/>
      <c r="D43" s="804"/>
      <c r="F43" s="796"/>
      <c r="H43" s="760"/>
      <c r="I43" s="808"/>
      <c r="K43" s="810"/>
      <c r="L43" s="800"/>
      <c r="N43" s="796"/>
      <c r="O43" s="808"/>
      <c r="Q43" s="301"/>
    </row>
    <row r="44" spans="2:17" x14ac:dyDescent="0.2">
      <c r="B44" s="301"/>
      <c r="D44" s="803">
        <v>20</v>
      </c>
      <c r="F44" s="795" t="s">
        <v>60</v>
      </c>
      <c r="H44" s="813">
        <f>'Carro Forte'!L32</f>
        <v>0</v>
      </c>
      <c r="I44" s="807">
        <f>D44*H44</f>
        <v>0</v>
      </c>
      <c r="K44" s="809">
        <f>'Carro Forte'!M32</f>
        <v>0</v>
      </c>
      <c r="L44" s="799">
        <f>D44*K44</f>
        <v>0</v>
      </c>
      <c r="N44" s="795">
        <f>H44+K44</f>
        <v>0</v>
      </c>
      <c r="O44" s="807">
        <f>D44*N44</f>
        <v>0</v>
      </c>
      <c r="Q44" s="301"/>
    </row>
    <row r="45" spans="2:17" ht="13.5" thickBot="1" x14ac:dyDescent="0.25">
      <c r="B45" s="301"/>
      <c r="D45" s="804"/>
      <c r="F45" s="796"/>
      <c r="H45" s="760"/>
      <c r="I45" s="808"/>
      <c r="K45" s="810"/>
      <c r="L45" s="800"/>
      <c r="N45" s="796"/>
      <c r="O45" s="808"/>
      <c r="Q45" s="301"/>
    </row>
    <row r="46" spans="2:17" x14ac:dyDescent="0.2">
      <c r="B46" s="301"/>
      <c r="D46" s="803">
        <v>50</v>
      </c>
      <c r="F46" s="795" t="s">
        <v>60</v>
      </c>
      <c r="H46" s="813">
        <f>'Carro Forte'!J32</f>
        <v>0</v>
      </c>
      <c r="I46" s="807">
        <f>D46*H46</f>
        <v>0</v>
      </c>
      <c r="K46" s="809">
        <f>'Carro Forte'!K32</f>
        <v>0</v>
      </c>
      <c r="L46" s="799">
        <f>D46*K46</f>
        <v>0</v>
      </c>
      <c r="N46" s="795">
        <f>H46+K46</f>
        <v>0</v>
      </c>
      <c r="O46" s="807">
        <f>D46*N46</f>
        <v>0</v>
      </c>
      <c r="Q46" s="301"/>
    </row>
    <row r="47" spans="2:17" ht="13.5" thickBot="1" x14ac:dyDescent="0.25">
      <c r="B47" s="301"/>
      <c r="D47" s="804"/>
      <c r="F47" s="796"/>
      <c r="H47" s="760"/>
      <c r="I47" s="808"/>
      <c r="K47" s="810"/>
      <c r="L47" s="800"/>
      <c r="N47" s="796"/>
      <c r="O47" s="808"/>
      <c r="Q47" s="301"/>
    </row>
    <row r="48" spans="2:17" x14ac:dyDescent="0.2">
      <c r="B48" s="301"/>
      <c r="D48" s="803">
        <v>100</v>
      </c>
      <c r="F48" s="795" t="s">
        <v>60</v>
      </c>
      <c r="H48" s="813">
        <f>'Carro Forte'!H32</f>
        <v>30</v>
      </c>
      <c r="I48" s="807">
        <f>D48*H48</f>
        <v>3000</v>
      </c>
      <c r="K48" s="809">
        <f>'Carro Forte'!I32</f>
        <v>0</v>
      </c>
      <c r="L48" s="799">
        <f>D48*K48</f>
        <v>0</v>
      </c>
      <c r="N48" s="795">
        <f>H48+K48</f>
        <v>30</v>
      </c>
      <c r="O48" s="807">
        <f>D48*N48</f>
        <v>3000</v>
      </c>
      <c r="Q48" s="301"/>
    </row>
    <row r="49" spans="2:17" ht="13.5" thickBot="1" x14ac:dyDescent="0.25">
      <c r="B49" s="301"/>
      <c r="D49" s="804"/>
      <c r="F49" s="796"/>
      <c r="H49" s="760"/>
      <c r="I49" s="808"/>
      <c r="K49" s="810"/>
      <c r="L49" s="800"/>
      <c r="N49" s="796"/>
      <c r="O49" s="808"/>
      <c r="Q49" s="301"/>
    </row>
    <row r="50" spans="2:17" ht="13.5" thickBot="1" x14ac:dyDescent="0.25">
      <c r="B50" s="301"/>
      <c r="Q50" s="301"/>
    </row>
    <row r="51" spans="2:17" x14ac:dyDescent="0.2">
      <c r="B51" s="301"/>
      <c r="D51" s="777" t="s">
        <v>63</v>
      </c>
      <c r="E51" s="778"/>
      <c r="F51" s="817"/>
      <c r="H51" s="818">
        <f>SUM(I34:I49)</f>
        <v>3000</v>
      </c>
      <c r="I51" s="819"/>
      <c r="K51" s="818">
        <f>SUM(L34:L49)</f>
        <v>0</v>
      </c>
      <c r="L51" s="819"/>
      <c r="N51" s="818">
        <f>SUM(O34:O49)</f>
        <v>3000</v>
      </c>
      <c r="O51" s="819"/>
      <c r="Q51" s="301"/>
    </row>
    <row r="52" spans="2:17" ht="13.5" thickBot="1" x14ac:dyDescent="0.25">
      <c r="B52" s="301"/>
      <c r="D52" s="760"/>
      <c r="E52" s="761"/>
      <c r="F52" s="762"/>
      <c r="H52" s="820"/>
      <c r="I52" s="821"/>
      <c r="K52" s="820"/>
      <c r="L52" s="821"/>
      <c r="N52" s="820"/>
      <c r="O52" s="821"/>
      <c r="Q52" s="301"/>
    </row>
    <row r="53" spans="2:17" ht="13.5" thickBot="1" x14ac:dyDescent="0.25">
      <c r="B53" s="301"/>
      <c r="D53" s="11"/>
      <c r="E53" s="11"/>
      <c r="F53" s="11"/>
      <c r="H53" s="472"/>
      <c r="I53" s="472"/>
      <c r="K53" s="472"/>
      <c r="L53" s="472"/>
      <c r="N53" s="472"/>
      <c r="O53" s="472"/>
      <c r="Q53" s="301"/>
    </row>
    <row r="54" spans="2:17" x14ac:dyDescent="0.2">
      <c r="B54" s="301"/>
      <c r="D54" s="458"/>
      <c r="E54" s="459"/>
      <c r="F54" s="459"/>
      <c r="G54" s="467"/>
      <c r="H54" s="473"/>
      <c r="I54" s="473"/>
      <c r="J54" s="467"/>
      <c r="K54" s="473"/>
      <c r="L54" s="473"/>
      <c r="M54" s="467"/>
      <c r="N54" s="473"/>
      <c r="O54" s="461"/>
      <c r="Q54" s="301"/>
    </row>
    <row r="55" spans="2:17" x14ac:dyDescent="0.2">
      <c r="B55" s="301"/>
      <c r="D55" s="814" t="s">
        <v>105</v>
      </c>
      <c r="E55" s="815"/>
      <c r="F55" s="815"/>
      <c r="G55" s="815"/>
      <c r="H55" s="815"/>
      <c r="I55" s="815"/>
      <c r="J55" s="815"/>
      <c r="K55" s="815"/>
      <c r="L55" s="815"/>
      <c r="M55" s="815"/>
      <c r="N55" s="815"/>
      <c r="O55" s="816"/>
      <c r="Q55" s="301"/>
    </row>
    <row r="56" spans="2:17" x14ac:dyDescent="0.2">
      <c r="B56" s="301"/>
      <c r="D56" s="814"/>
      <c r="E56" s="815"/>
      <c r="F56" s="815"/>
      <c r="G56" s="815"/>
      <c r="H56" s="815"/>
      <c r="I56" s="815"/>
      <c r="J56" s="815"/>
      <c r="K56" s="815"/>
      <c r="L56" s="815"/>
      <c r="M56" s="815"/>
      <c r="N56" s="815"/>
      <c r="O56" s="816"/>
      <c r="Q56" s="301"/>
    </row>
    <row r="57" spans="2:17" x14ac:dyDescent="0.2">
      <c r="B57" s="301"/>
      <c r="D57" s="814"/>
      <c r="E57" s="815"/>
      <c r="F57" s="815"/>
      <c r="G57" s="815"/>
      <c r="H57" s="815"/>
      <c r="I57" s="815"/>
      <c r="J57" s="815"/>
      <c r="K57" s="815"/>
      <c r="L57" s="815"/>
      <c r="M57" s="815"/>
      <c r="N57" s="815"/>
      <c r="O57" s="816"/>
      <c r="Q57" s="301"/>
    </row>
    <row r="58" spans="2:17" x14ac:dyDescent="0.2">
      <c r="B58" s="301"/>
      <c r="D58" s="814"/>
      <c r="E58" s="815"/>
      <c r="F58" s="815"/>
      <c r="G58" s="815"/>
      <c r="H58" s="815"/>
      <c r="I58" s="815"/>
      <c r="J58" s="815"/>
      <c r="K58" s="815"/>
      <c r="L58" s="815"/>
      <c r="M58" s="815"/>
      <c r="N58" s="815"/>
      <c r="O58" s="816"/>
      <c r="Q58" s="301"/>
    </row>
    <row r="59" spans="2:17" x14ac:dyDescent="0.2">
      <c r="B59" s="301"/>
      <c r="D59" s="814"/>
      <c r="E59" s="815"/>
      <c r="F59" s="815"/>
      <c r="G59" s="815"/>
      <c r="H59" s="815"/>
      <c r="I59" s="815"/>
      <c r="J59" s="815"/>
      <c r="K59" s="815"/>
      <c r="L59" s="815"/>
      <c r="M59" s="815"/>
      <c r="N59" s="815"/>
      <c r="O59" s="816"/>
      <c r="Q59" s="301"/>
    </row>
    <row r="60" spans="2:17" x14ac:dyDescent="0.2">
      <c r="B60" s="301"/>
      <c r="D60" s="814"/>
      <c r="E60" s="815"/>
      <c r="F60" s="815"/>
      <c r="G60" s="815"/>
      <c r="H60" s="815"/>
      <c r="I60" s="815"/>
      <c r="J60" s="815"/>
      <c r="K60" s="815"/>
      <c r="L60" s="815"/>
      <c r="M60" s="815"/>
      <c r="N60" s="815"/>
      <c r="O60" s="816"/>
      <c r="Q60" s="301"/>
    </row>
    <row r="61" spans="2:17" x14ac:dyDescent="0.2">
      <c r="B61" s="301"/>
      <c r="D61" s="814"/>
      <c r="E61" s="815"/>
      <c r="F61" s="815"/>
      <c r="G61" s="815"/>
      <c r="H61" s="815"/>
      <c r="I61" s="815"/>
      <c r="J61" s="815"/>
      <c r="K61" s="815"/>
      <c r="L61" s="815"/>
      <c r="M61" s="815"/>
      <c r="N61" s="815"/>
      <c r="O61" s="816"/>
      <c r="Q61" s="301"/>
    </row>
    <row r="62" spans="2:17" x14ac:dyDescent="0.2">
      <c r="B62" s="301"/>
      <c r="D62" s="814"/>
      <c r="E62" s="815"/>
      <c r="F62" s="815"/>
      <c r="G62" s="815"/>
      <c r="H62" s="815"/>
      <c r="I62" s="815"/>
      <c r="J62" s="815"/>
      <c r="K62" s="815"/>
      <c r="L62" s="815"/>
      <c r="M62" s="815"/>
      <c r="N62" s="815"/>
      <c r="O62" s="816"/>
      <c r="Q62" s="301"/>
    </row>
    <row r="63" spans="2:17" x14ac:dyDescent="0.2">
      <c r="B63" s="301"/>
      <c r="D63" s="814"/>
      <c r="E63" s="815"/>
      <c r="F63" s="815"/>
      <c r="G63" s="815"/>
      <c r="H63" s="815"/>
      <c r="I63" s="815"/>
      <c r="J63" s="815"/>
      <c r="K63" s="815"/>
      <c r="L63" s="815"/>
      <c r="M63" s="815"/>
      <c r="N63" s="815"/>
      <c r="O63" s="816"/>
      <c r="Q63" s="301"/>
    </row>
    <row r="64" spans="2:17" x14ac:dyDescent="0.2">
      <c r="B64" s="301"/>
      <c r="D64" s="814"/>
      <c r="E64" s="815"/>
      <c r="F64" s="815"/>
      <c r="G64" s="815"/>
      <c r="H64" s="815"/>
      <c r="I64" s="815"/>
      <c r="J64" s="815"/>
      <c r="K64" s="815"/>
      <c r="L64" s="815"/>
      <c r="M64" s="815"/>
      <c r="N64" s="815"/>
      <c r="O64" s="816"/>
      <c r="Q64" s="301"/>
    </row>
    <row r="65" spans="2:17" ht="13.5" thickBot="1" x14ac:dyDescent="0.25">
      <c r="B65" s="301"/>
      <c r="D65" s="760"/>
      <c r="E65" s="761"/>
      <c r="F65" s="761"/>
      <c r="G65" s="761"/>
      <c r="H65" s="761"/>
      <c r="I65" s="761"/>
      <c r="J65" s="761"/>
      <c r="K65" s="761"/>
      <c r="L65" s="761"/>
      <c r="M65" s="761"/>
      <c r="N65" s="761"/>
      <c r="O65" s="762"/>
      <c r="Q65" s="301"/>
    </row>
    <row r="66" spans="2:17" x14ac:dyDescent="0.2">
      <c r="B66" s="301"/>
      <c r="D66" s="11"/>
      <c r="E66" s="11"/>
      <c r="F66" s="11"/>
      <c r="H66" s="472"/>
      <c r="I66" s="472"/>
      <c r="K66" s="472"/>
      <c r="L66" s="472"/>
      <c r="N66" s="472"/>
      <c r="O66" s="472"/>
      <c r="Q66" s="301"/>
    </row>
    <row r="67" spans="2:17" x14ac:dyDescent="0.2">
      <c r="B67" s="301"/>
      <c r="C67" s="301"/>
      <c r="D67" s="301"/>
      <c r="E67" s="301"/>
      <c r="F67" s="301"/>
      <c r="G67" s="301"/>
      <c r="H67" s="301"/>
      <c r="I67" s="301"/>
      <c r="J67" s="301"/>
      <c r="K67" s="301"/>
      <c r="L67" s="301"/>
      <c r="M67" s="301"/>
      <c r="N67" s="301"/>
      <c r="O67" s="301"/>
      <c r="P67" s="301"/>
      <c r="Q67" s="301"/>
    </row>
  </sheetData>
  <mergeCells count="94">
    <mergeCell ref="D51:F52"/>
    <mergeCell ref="H51:I52"/>
    <mergeCell ref="K51:L52"/>
    <mergeCell ref="N51:O52"/>
    <mergeCell ref="D55:O55"/>
    <mergeCell ref="D56:O65"/>
    <mergeCell ref="N46:N47"/>
    <mergeCell ref="O46:O47"/>
    <mergeCell ref="D48:D49"/>
    <mergeCell ref="F48:F49"/>
    <mergeCell ref="H48:H49"/>
    <mergeCell ref="I48:I49"/>
    <mergeCell ref="K48:K49"/>
    <mergeCell ref="L48:L49"/>
    <mergeCell ref="N48:N49"/>
    <mergeCell ref="O48:O49"/>
    <mergeCell ref="D46:D47"/>
    <mergeCell ref="F46:F47"/>
    <mergeCell ref="H46:H47"/>
    <mergeCell ref="I46:I47"/>
    <mergeCell ref="K46:K47"/>
    <mergeCell ref="L46:L47"/>
    <mergeCell ref="N42:N43"/>
    <mergeCell ref="O42:O43"/>
    <mergeCell ref="D44:D45"/>
    <mergeCell ref="F44:F45"/>
    <mergeCell ref="H44:H45"/>
    <mergeCell ref="I44:I45"/>
    <mergeCell ref="K44:K45"/>
    <mergeCell ref="L44:L45"/>
    <mergeCell ref="N44:N45"/>
    <mergeCell ref="O44:O45"/>
    <mergeCell ref="D42:D43"/>
    <mergeCell ref="F42:F43"/>
    <mergeCell ref="H42:H43"/>
    <mergeCell ref="I42:I43"/>
    <mergeCell ref="K42:K43"/>
    <mergeCell ref="L42:L43"/>
    <mergeCell ref="N38:N39"/>
    <mergeCell ref="O38:O39"/>
    <mergeCell ref="D40:D41"/>
    <mergeCell ref="F40:F41"/>
    <mergeCell ref="H40:H41"/>
    <mergeCell ref="I40:I41"/>
    <mergeCell ref="K40:K41"/>
    <mergeCell ref="L40:L41"/>
    <mergeCell ref="N40:N41"/>
    <mergeCell ref="O40:O41"/>
    <mergeCell ref="D38:D39"/>
    <mergeCell ref="F38:F39"/>
    <mergeCell ref="H38:H39"/>
    <mergeCell ref="I38:I39"/>
    <mergeCell ref="K38:K39"/>
    <mergeCell ref="L38:L39"/>
    <mergeCell ref="N34:N35"/>
    <mergeCell ref="O34:O35"/>
    <mergeCell ref="D36:D37"/>
    <mergeCell ref="F36:F37"/>
    <mergeCell ref="H36:H37"/>
    <mergeCell ref="I36:I37"/>
    <mergeCell ref="K36:K37"/>
    <mergeCell ref="L36:L37"/>
    <mergeCell ref="N36:N37"/>
    <mergeCell ref="O36:O37"/>
    <mergeCell ref="D34:D35"/>
    <mergeCell ref="F34:F35"/>
    <mergeCell ref="H34:H35"/>
    <mergeCell ref="I34:I35"/>
    <mergeCell ref="K34:K35"/>
    <mergeCell ref="L34:L35"/>
    <mergeCell ref="D25:F26"/>
    <mergeCell ref="G25:O26"/>
    <mergeCell ref="D28:G29"/>
    <mergeCell ref="H28:O29"/>
    <mergeCell ref="D31:D32"/>
    <mergeCell ref="F31:F32"/>
    <mergeCell ref="H31:I31"/>
    <mergeCell ref="K31:L31"/>
    <mergeCell ref="N31:O31"/>
    <mergeCell ref="D23:F23"/>
    <mergeCell ref="H23:I23"/>
    <mergeCell ref="K23:O23"/>
    <mergeCell ref="F2:N2"/>
    <mergeCell ref="B5:Q5"/>
    <mergeCell ref="L10:L11"/>
    <mergeCell ref="M10:O11"/>
    <mergeCell ref="D13:O14"/>
    <mergeCell ref="D16:F17"/>
    <mergeCell ref="H16:O17"/>
    <mergeCell ref="D19:F20"/>
    <mergeCell ref="H19:O20"/>
    <mergeCell ref="D22:F22"/>
    <mergeCell ref="H22:I22"/>
    <mergeCell ref="L22:O22"/>
  </mergeCells>
  <pageMargins left="0.51181102362204722" right="0.51181102362204722" top="0.78740157480314965" bottom="0.78740157480314965" header="0.31496062992125984" footer="0.31496062992125984"/>
  <pageSetup paperSize="9" scale="77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Caderno</vt:lpstr>
      <vt:lpstr>Carro Forte</vt:lpstr>
      <vt:lpstr>Fechamento Cx Aqui</vt:lpstr>
      <vt:lpstr>RME CEF 1</vt:lpstr>
      <vt:lpstr>Gráf1</vt:lpstr>
      <vt:lpstr>Caderno!Area_de_impressao</vt:lpstr>
      <vt:lpstr>'Carro Forte'!Area_de_impressao</vt:lpstr>
      <vt:lpstr>'Fechamento Cx Aqui'!Area_de_impressao</vt:lpstr>
      <vt:lpstr>'RME CEF 1'!Area_de_impressao</vt:lpstr>
      <vt:lpstr>caixas</vt:lpstr>
    </vt:vector>
  </TitlesOfParts>
  <Company>Volkswagen do Brasil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UJSANTO</dc:creator>
  <cp:lastModifiedBy>familia1</cp:lastModifiedBy>
  <cp:lastPrinted>2019-03-28T17:23:39Z</cp:lastPrinted>
  <dcterms:created xsi:type="dcterms:W3CDTF">2010-08-31T12:43:32Z</dcterms:created>
  <dcterms:modified xsi:type="dcterms:W3CDTF">2019-05-30T13:05:10Z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-1933938210</vt:i4>
  </property>
  <property fmtid="{D5CDD505-2E9C-101B-9397-08002B2CF9AE}" pid="3" name="_NewReviewCycle">
    <vt:lpwstr/>
  </property>
  <property fmtid="{D5CDD505-2E9C-101B-9397-08002B2CF9AE}" pid="4" name="_EmailSubject">
    <vt:lpwstr>TABELAS DO VACA</vt:lpwstr>
  </property>
  <property fmtid="{D5CDD505-2E9C-101B-9397-08002B2CF9AE}" pid="5" name="_AuthorEmail">
    <vt:lpwstr>Jurandir.Santori@volkswagen.com.br</vt:lpwstr>
  </property>
  <property fmtid="{D5CDD505-2E9C-101B-9397-08002B2CF9AE}" pid="6" name="_AuthorEmailDisplayName">
    <vt:lpwstr>Santori, Jurandir</vt:lpwstr>
  </property>
  <property fmtid="{D5CDD505-2E9C-101B-9397-08002B2CF9AE}" pid="7" name="_ReviewingToolsShownOnce">
    <vt:lpwstr/>
  </property>
</Properties>
</file>